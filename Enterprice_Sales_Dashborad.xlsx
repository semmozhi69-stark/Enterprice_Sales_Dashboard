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0e40ba951ba27c/Documents/"/>
    </mc:Choice>
  </mc:AlternateContent>
  <xr:revisionPtr revIDLastSave="1522" documentId="8_{871C8C48-2C99-436B-9AD9-864012EB81BE}" xr6:coauthVersionLast="47" xr6:coauthVersionMax="47" xr10:uidLastSave="{561E1A41-3426-411C-A828-F3CD73C27B75}"/>
  <bookViews>
    <workbookView xWindow="-120" yWindow="-120" windowWidth="20640" windowHeight="11040" firstSheet="2" activeTab="5" xr2:uid="{41F9DCDB-8EC8-48A0-9519-A36A3F0926C9}"/>
  </bookViews>
  <sheets>
    <sheet name="Sales_Data" sheetId="1" r:id="rId1"/>
    <sheet name="Employees" sheetId="2" r:id="rId2"/>
    <sheet name="Products" sheetId="3" r:id="rId3"/>
    <sheet name="Customers" sheetId="4" r:id="rId4"/>
    <sheet name="Dashboard" sheetId="5" r:id="rId5"/>
    <sheet name="Looku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K6" i="5"/>
  <c r="K7" i="5"/>
  <c r="K8" i="5"/>
  <c r="K5" i="5"/>
  <c r="E6" i="5"/>
  <c r="E7" i="5"/>
  <c r="E8" i="5"/>
  <c r="E9" i="5"/>
  <c r="E5" i="5"/>
  <c r="B9" i="5"/>
  <c r="D2" i="5"/>
  <c r="C2" i="5"/>
  <c r="B2" i="5"/>
  <c r="A2" i="5"/>
  <c r="N2" i="1" a="1"/>
  <c r="M49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4" i="1"/>
  <c r="M495" i="1"/>
  <c r="M496" i="1"/>
  <c r="M497" i="1"/>
  <c r="M498" i="1"/>
  <c r="M499" i="1"/>
  <c r="M500" i="1"/>
  <c r="M501" i="1"/>
  <c r="M2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2" i="1"/>
  <c r="H8" i="5" l="1"/>
  <c r="H5" i="5"/>
  <c r="H6" i="5"/>
  <c r="H7" i="5"/>
  <c r="S4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<sst xmlns="http://schemas.openxmlformats.org/spreadsheetml/2006/main" count="5461" uniqueCount="1972">
  <si>
    <t>Order_Date</t>
  </si>
  <si>
    <t>Product_ID</t>
  </si>
  <si>
    <t>Category</t>
  </si>
  <si>
    <t>Quantity</t>
  </si>
  <si>
    <t>Unit_Price</t>
  </si>
  <si>
    <t>Total_Sales</t>
  </si>
  <si>
    <t>Employee_ID</t>
  </si>
  <si>
    <t>Employee_Names</t>
  </si>
  <si>
    <t xml:space="preserve">City </t>
  </si>
  <si>
    <t>Payment_Method</t>
  </si>
  <si>
    <t>Order_Status</t>
  </si>
  <si>
    <t>Customer_ID</t>
  </si>
  <si>
    <t>Customer_Name</t>
  </si>
  <si>
    <t>Product_Name</t>
  </si>
  <si>
    <t>Sales_ID</t>
  </si>
  <si>
    <t>Employee_Name</t>
  </si>
  <si>
    <t>Department</t>
  </si>
  <si>
    <t>Designation</t>
  </si>
  <si>
    <t>City</t>
  </si>
  <si>
    <t>Salary</t>
  </si>
  <si>
    <t>Joining_Date</t>
  </si>
  <si>
    <t>Manager</t>
  </si>
  <si>
    <t>Brand</t>
  </si>
  <si>
    <t>Stock</t>
  </si>
  <si>
    <t>Supplier</t>
  </si>
  <si>
    <t>Gender</t>
  </si>
  <si>
    <t>Age</t>
  </si>
  <si>
    <t>State</t>
  </si>
  <si>
    <t>Phone</t>
  </si>
  <si>
    <t>Email</t>
  </si>
  <si>
    <t>Categories</t>
  </si>
  <si>
    <t>Sales</t>
  </si>
  <si>
    <t>HR</t>
  </si>
  <si>
    <t>Finance</t>
  </si>
  <si>
    <t>Marketing</t>
  </si>
  <si>
    <t>IT</t>
  </si>
  <si>
    <t>Electronics</t>
  </si>
  <si>
    <t>Clothing</t>
  </si>
  <si>
    <t>Grocery</t>
  </si>
  <si>
    <t>Furniture</t>
  </si>
  <si>
    <t>Accessories</t>
  </si>
  <si>
    <t>Cash</t>
  </si>
  <si>
    <t>UPI</t>
  </si>
  <si>
    <t>Card</t>
  </si>
  <si>
    <t>Net Banking</t>
  </si>
  <si>
    <t>COD</t>
  </si>
  <si>
    <t xml:space="preserve">Delivery </t>
  </si>
  <si>
    <t>Pending</t>
  </si>
  <si>
    <t>Cancelled</t>
  </si>
  <si>
    <t>Returned</t>
  </si>
  <si>
    <t>Processing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</si>
  <si>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</si>
  <si>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</si>
  <si>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</si>
  <si>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</si>
  <si>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</si>
  <si>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</si>
  <si>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</si>
  <si>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</si>
  <si>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</si>
  <si>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</si>
  <si>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Arjun Kumar</t>
  </si>
  <si>
    <t>Priya Sharma</t>
  </si>
  <si>
    <t>Rahul Verma</t>
  </si>
  <si>
    <t>Sneha Reddy</t>
  </si>
  <si>
    <t>Karthik Raj</t>
  </si>
  <si>
    <t>Sales Executive</t>
  </si>
  <si>
    <t>Chennai</t>
  </si>
  <si>
    <t>HR Executive</t>
  </si>
  <si>
    <t>Finace</t>
  </si>
  <si>
    <t>Accountant</t>
  </si>
  <si>
    <t>Hydrabed</t>
  </si>
  <si>
    <t>Marketing Executive</t>
  </si>
  <si>
    <t>Bangalore</t>
  </si>
  <si>
    <t>Softwer Engineer</t>
  </si>
  <si>
    <t>Rajesh Kumar</t>
  </si>
  <si>
    <t>Anita Roy</t>
  </si>
  <si>
    <t>Suesh Patel</t>
  </si>
  <si>
    <t>Kavitha Naire</t>
  </si>
  <si>
    <t>Vivek Menon</t>
  </si>
  <si>
    <t xml:space="preserve">Divya Nair </t>
  </si>
  <si>
    <t>Ajay Singh</t>
  </si>
  <si>
    <t>Meera Joshi</t>
  </si>
  <si>
    <t>System Administrator</t>
  </si>
  <si>
    <t>HR Manager</t>
  </si>
  <si>
    <t>Mumbai</t>
  </si>
  <si>
    <t>Sanjay Kumar</t>
  </si>
  <si>
    <t>Finace Analyst</t>
  </si>
  <si>
    <t>Delhi</t>
  </si>
  <si>
    <t>Pooja Patel</t>
  </si>
  <si>
    <t>Marketing Manager</t>
  </si>
  <si>
    <t>EMP011</t>
  </si>
  <si>
    <t>EMP012</t>
  </si>
  <si>
    <t>EMP013</t>
  </si>
  <si>
    <t>EMP014</t>
  </si>
  <si>
    <t>Nithya Krishnan</t>
  </si>
  <si>
    <t>Sales Manager</t>
  </si>
  <si>
    <t>Rohit Mehta</t>
  </si>
  <si>
    <t>Sotwer Engineer</t>
  </si>
  <si>
    <t>Aisha Khan</t>
  </si>
  <si>
    <t>Vikram Iyer</t>
  </si>
  <si>
    <t>EMP015</t>
  </si>
  <si>
    <t>Neha Gupta</t>
  </si>
  <si>
    <t>Senior Accountant</t>
  </si>
  <si>
    <t>Digital Marketing</t>
  </si>
  <si>
    <t>EMP016</t>
  </si>
  <si>
    <t>EMP017</t>
  </si>
  <si>
    <t>EMP018</t>
  </si>
  <si>
    <t>EMP019</t>
  </si>
  <si>
    <t>EMP020</t>
  </si>
  <si>
    <t>Harish Ramanan</t>
  </si>
  <si>
    <t>Lakshmi Devi</t>
  </si>
  <si>
    <t>Mohammed Ali</t>
  </si>
  <si>
    <t>Kavya Srinivas</t>
  </si>
  <si>
    <t>Rakesh Sharma</t>
  </si>
  <si>
    <t>Network Engineer</t>
  </si>
  <si>
    <t>Finace Manager</t>
  </si>
  <si>
    <t>Marketing Excutive</t>
  </si>
  <si>
    <t>Talent Acquisition Specialist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</si>
  <si>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</si>
  <si>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</si>
  <si>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</si>
  <si>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</si>
  <si>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</si>
  <si>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</si>
  <si>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</si>
  <si>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</si>
  <si>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</si>
  <si>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</si>
  <si>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Laptop</t>
  </si>
  <si>
    <t>SmartPhone</t>
  </si>
  <si>
    <t>HeadPhone</t>
  </si>
  <si>
    <t>Office Chair</t>
  </si>
  <si>
    <t>Study Table</t>
  </si>
  <si>
    <t>T-Shirt</t>
  </si>
  <si>
    <t>Jeans</t>
  </si>
  <si>
    <t>Rice 10kg</t>
  </si>
  <si>
    <t>Cooking Oil 5L</t>
  </si>
  <si>
    <t>Smart Watch</t>
  </si>
  <si>
    <t>Dell</t>
  </si>
  <si>
    <t>Samsung</t>
  </si>
  <si>
    <t>Sony</t>
  </si>
  <si>
    <t>Nikamal</t>
  </si>
  <si>
    <t>IKEA</t>
  </si>
  <si>
    <t>Puma</t>
  </si>
  <si>
    <t>Levi's</t>
  </si>
  <si>
    <t>India Gate</t>
  </si>
  <si>
    <t>Fortune</t>
  </si>
  <si>
    <t>Noice</t>
  </si>
  <si>
    <t>Tech Distributors</t>
  </si>
  <si>
    <t>Mobile World</t>
  </si>
  <si>
    <t>Audio Hub</t>
  </si>
  <si>
    <t>Comfort Furniture</t>
  </si>
  <si>
    <t>Home Solutions</t>
  </si>
  <si>
    <t>Fashion Zone</t>
  </si>
  <si>
    <t>Fresh Mart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</si>
  <si>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</si>
  <si>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</si>
  <si>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</si>
  <si>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</si>
  <si>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</si>
  <si>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</si>
  <si>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</si>
  <si>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</si>
  <si>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</si>
  <si>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</si>
  <si>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</si>
  <si>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</si>
  <si>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</si>
  <si>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</si>
  <si>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</si>
  <si>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</si>
  <si>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</si>
  <si>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</si>
  <si>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</si>
  <si>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</si>
  <si>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Bluetooth Speaker</t>
  </si>
  <si>
    <t>Keyboard</t>
  </si>
  <si>
    <t>Wireless Mouse</t>
  </si>
  <si>
    <t>Monitor</t>
  </si>
  <si>
    <t>Back  Pack</t>
  </si>
  <si>
    <t>Sports Shoes</t>
  </si>
  <si>
    <t>Fomal Shirts</t>
  </si>
  <si>
    <t>Saree</t>
  </si>
  <si>
    <t>Asscessories</t>
  </si>
  <si>
    <t>Footwear</t>
  </si>
  <si>
    <t>JBl</t>
  </si>
  <si>
    <t>Logitech</t>
  </si>
  <si>
    <t>HP</t>
  </si>
  <si>
    <t>LG</t>
  </si>
  <si>
    <t>Wildcraft</t>
  </si>
  <si>
    <t>Adidas</t>
  </si>
  <si>
    <t>Bata</t>
  </si>
  <si>
    <t>Van Hesusen</t>
  </si>
  <si>
    <t>Manyavar</t>
  </si>
  <si>
    <t>Bru</t>
  </si>
  <si>
    <t>Coffee Powder 1kg</t>
  </si>
  <si>
    <t>Formal Shoes</t>
  </si>
  <si>
    <t>Sports World</t>
  </si>
  <si>
    <t>Footwear Hub</t>
  </si>
  <si>
    <t>Tablet</t>
  </si>
  <si>
    <t>Printer</t>
  </si>
  <si>
    <t>USB Drive 64GB</t>
  </si>
  <si>
    <t>Office Desk</t>
  </si>
  <si>
    <t>Bookshelf</t>
  </si>
  <si>
    <t>Jacket</t>
  </si>
  <si>
    <t>Running Shoes</t>
  </si>
  <si>
    <t>Biscuits Pack</t>
  </si>
  <si>
    <t>Tea Powder</t>
  </si>
  <si>
    <t>Webcam</t>
  </si>
  <si>
    <t>Lenovo</t>
  </si>
  <si>
    <t>Canon</t>
  </si>
  <si>
    <t>Sandisk</t>
  </si>
  <si>
    <t>Godrej</t>
  </si>
  <si>
    <t>Nike</t>
  </si>
  <si>
    <t>Britannia</t>
  </si>
  <si>
    <t>Tata Tea</t>
  </si>
  <si>
    <t>Office Solutions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</si>
  <si>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</si>
  <si>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</si>
  <si>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</si>
  <si>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</si>
  <si>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</si>
  <si>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</si>
  <si>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</si>
  <si>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</si>
  <si>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</si>
  <si>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</si>
  <si>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</si>
  <si>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</si>
  <si>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</si>
  <si>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</si>
  <si>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</si>
  <si>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</si>
  <si>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</si>
  <si>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</si>
  <si>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</si>
  <si>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</si>
  <si>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Aditya Kumar</t>
  </si>
  <si>
    <t>Ananya Sharma</t>
  </si>
  <si>
    <t>Rohit Verma</t>
  </si>
  <si>
    <t>Vikram Singh</t>
  </si>
  <si>
    <t>Priya Naire</t>
  </si>
  <si>
    <t>Arjun Patel</t>
  </si>
  <si>
    <t>Meera Iyer</t>
  </si>
  <si>
    <t>Karan Mehata</t>
  </si>
  <si>
    <t>Divya Krishnan</t>
  </si>
  <si>
    <t>Male</t>
  </si>
  <si>
    <t>Female</t>
  </si>
  <si>
    <t>Hyderabed</t>
  </si>
  <si>
    <t>Ahmedabad</t>
  </si>
  <si>
    <t>Tamil Nadu</t>
  </si>
  <si>
    <t>Karnataka</t>
  </si>
  <si>
    <t>Telengana</t>
  </si>
  <si>
    <t>Maharashtra</t>
  </si>
  <si>
    <t>Gujarat</t>
  </si>
  <si>
    <t>Talengana</t>
  </si>
  <si>
    <t>aditya.kumar@gmail.com</t>
  </si>
  <si>
    <t>ananya.sharma@gmail.com</t>
  </si>
  <si>
    <t>rohit.verma@gmail.com</t>
  </si>
  <si>
    <t>sneha.reddy@gmail.com</t>
  </si>
  <si>
    <t>vikram.singh@gmail.com</t>
  </si>
  <si>
    <t>priya.nair@gmail.com</t>
  </si>
  <si>
    <t>arjun.patel@gmail.com</t>
  </si>
  <si>
    <t>meera.iyer@gmail.com</t>
  </si>
  <si>
    <t>karan.mehata@gmail.com</t>
  </si>
  <si>
    <t>divya.krishnan@gmail.com</t>
  </si>
  <si>
    <t>Nikhil Rao</t>
  </si>
  <si>
    <t>Pune</t>
  </si>
  <si>
    <t>Kavya Menon</t>
  </si>
  <si>
    <t>Suresh Babu</t>
  </si>
  <si>
    <t>Riya Kapoor</t>
  </si>
  <si>
    <t>Manish Gupta</t>
  </si>
  <si>
    <t>Aishwarya Raj</t>
  </si>
  <si>
    <t>Deepak Kumar</t>
  </si>
  <si>
    <t>Swathi Nair</t>
  </si>
  <si>
    <t>Ajay Menon</t>
  </si>
  <si>
    <t>Pooja Sharma</t>
  </si>
  <si>
    <t>Kochi</t>
  </si>
  <si>
    <t>Kerla</t>
  </si>
  <si>
    <t>nikhil.rao@gmail.com</t>
  </si>
  <si>
    <t>suresh.babu@gmail.com</t>
  </si>
  <si>
    <t>kavya.menon@gmail.com</t>
  </si>
  <si>
    <t>riya.kapoor@gmail.com</t>
  </si>
  <si>
    <t>manish.gupta@gmail.com</t>
  </si>
  <si>
    <t>aishwarya.raj@gmail.com</t>
  </si>
  <si>
    <t>deepak.kumar@gmail.com</t>
  </si>
  <si>
    <t>swathi.nair@gmail.com</t>
  </si>
  <si>
    <t>ajay.menon@gmail.com</t>
  </si>
  <si>
    <t>pooja.sharma@gmail.com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</si>
  <si>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</si>
  <si>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</si>
  <si>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</si>
  <si>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</si>
  <si>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</si>
  <si>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</si>
  <si>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</si>
  <si>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</si>
  <si>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</si>
  <si>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</si>
  <si>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</si>
  <si>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</si>
  <si>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</si>
  <si>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Varun Das</t>
  </si>
  <si>
    <t>Ishita Roy</t>
  </si>
  <si>
    <t>Naveen Kumar</t>
  </si>
  <si>
    <t>Shalini Rao</t>
  </si>
  <si>
    <t>Akash Jain</t>
  </si>
  <si>
    <t>Monika Das</t>
  </si>
  <si>
    <t>Praveen Raj</t>
  </si>
  <si>
    <t>Neha Iyer</t>
  </si>
  <si>
    <t>Abhishek Singh</t>
  </si>
  <si>
    <t>Swetha Reddy</t>
  </si>
  <si>
    <t>Kolkata</t>
  </si>
  <si>
    <t>West Bengal</t>
  </si>
  <si>
    <t>varun.das@gmail.com</t>
  </si>
  <si>
    <t>ishita.roy@gmail.com</t>
  </si>
  <si>
    <t>naveen.kumar@gmail.com</t>
  </si>
  <si>
    <t>shalini.rao@gmail.com</t>
  </si>
  <si>
    <t>akash..jain@gmail.com</t>
  </si>
  <si>
    <t>monika.das@gmail.com</t>
  </si>
  <si>
    <t>praveen.raj@gmail.com</t>
  </si>
  <si>
    <t>neha.iyer@gmail.com</t>
  </si>
  <si>
    <t>abhishek.singh@gmail.com</t>
  </si>
  <si>
    <t>swetha.reddy@gmail.com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</si>
  <si>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</si>
  <si>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</si>
  <si>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</si>
  <si>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</si>
  <si>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</si>
  <si>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</si>
  <si>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</si>
  <si>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</si>
  <si>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</si>
  <si>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</si>
  <si>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</si>
  <si>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</si>
  <si>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</si>
  <si>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</si>
  <si>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</si>
  <si>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</si>
  <si>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</si>
  <si>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Rahul Nair</t>
  </si>
  <si>
    <t>Anjali Menon</t>
  </si>
  <si>
    <t>Rohit Sherma</t>
  </si>
  <si>
    <t>Deepa Kumar</t>
  </si>
  <si>
    <t>Sanjay Rao</t>
  </si>
  <si>
    <t>Meena Krishnan</t>
  </si>
  <si>
    <t>Aravind Raj</t>
  </si>
  <si>
    <t>Padmini Das</t>
  </si>
  <si>
    <t>Kiran Patel</t>
  </si>
  <si>
    <t>Reshma Ali</t>
  </si>
  <si>
    <t>rahul.nair@gmail.com</t>
  </si>
  <si>
    <t>anjali.menon@gmail.com</t>
  </si>
  <si>
    <t>rohit.sherma@gmail.com</t>
  </si>
  <si>
    <t>deepa.kumar@gmail.com</t>
  </si>
  <si>
    <t>sanjay.rao@gmail.com</t>
  </si>
  <si>
    <t>meena.krishnan@gmail.com</t>
  </si>
  <si>
    <t>arvind.raj@gmail.com</t>
  </si>
  <si>
    <t>padmini.das@gmail.com</t>
  </si>
  <si>
    <t>kiran.patel@gmail.com</t>
  </si>
  <si>
    <t>reshma.ali@gmail.com</t>
  </si>
  <si>
    <t xml:space="preserve">Hari Prasad </t>
  </si>
  <si>
    <t>Nandhini Raj</t>
  </si>
  <si>
    <t>Manoj Kumar</t>
  </si>
  <si>
    <t>Swetha Nair</t>
  </si>
  <si>
    <t>Ramesh Gupta</t>
  </si>
  <si>
    <t>Divya Shah</t>
  </si>
  <si>
    <t>Sandeep Rao</t>
  </si>
  <si>
    <t>Keerthi Reddy</t>
  </si>
  <si>
    <t>Gautham Iyer</t>
  </si>
  <si>
    <t>Asha Menon</t>
  </si>
  <si>
    <t>hari.prasad@gmail.com</t>
  </si>
  <si>
    <t>nandhini.raj@gmail.com</t>
  </si>
  <si>
    <t>manoj.kumar@gmail.com</t>
  </si>
  <si>
    <t>swetha.nair@gmail.com</t>
  </si>
  <si>
    <t>ramesh.gupta@gmail.com</t>
  </si>
  <si>
    <t>divya.shah@gmail.com</t>
  </si>
  <si>
    <t>sandeep.rao@gmail.com</t>
  </si>
  <si>
    <t>gautham.iyer@gmail.com</t>
  </si>
  <si>
    <t>keerthi.reddy@gmail.com</t>
  </si>
  <si>
    <t>asha.menon@gmail.com</t>
  </si>
  <si>
    <t>C051</t>
  </si>
  <si>
    <t>Rajiv Menon</t>
  </si>
  <si>
    <t>rajiv.menon@gmail.com</t>
  </si>
  <si>
    <t>C052</t>
  </si>
  <si>
    <t>Priya Rao</t>
  </si>
  <si>
    <t>priya.rao@gmail.com</t>
  </si>
  <si>
    <t>C053</t>
  </si>
  <si>
    <t>Vijay Kumar</t>
  </si>
  <si>
    <t>Hyderabad</t>
  </si>
  <si>
    <t>Telangana</t>
  </si>
  <si>
    <t>vijay.kumar@gmail.com</t>
  </si>
  <si>
    <t>C054</t>
  </si>
  <si>
    <t>Anitha Sharma</t>
  </si>
  <si>
    <t>anitha.sharma@gmail.com</t>
  </si>
  <si>
    <t>C055</t>
  </si>
  <si>
    <t>Arun Patel</t>
  </si>
  <si>
    <t>arun.patel@gmail.com</t>
  </si>
  <si>
    <t>C056</t>
  </si>
  <si>
    <t>Divya Nair</t>
  </si>
  <si>
    <t>Kerala</t>
  </si>
  <si>
    <t>divya.nair@gmail.com</t>
  </si>
  <si>
    <t>C057</t>
  </si>
  <si>
    <t>karthik.raj@gmail.com</t>
  </si>
  <si>
    <t>C058</t>
  </si>
  <si>
    <t>Meena Das</t>
  </si>
  <si>
    <t>meena.das@gmail.com</t>
  </si>
  <si>
    <t>C059</t>
  </si>
  <si>
    <t>Rahul Singh</t>
  </si>
  <si>
    <t>rahul.singh@gmail.com</t>
  </si>
  <si>
    <t>C060</t>
  </si>
  <si>
    <t>Sangeetha Iyer</t>
  </si>
  <si>
    <t>sangeetha.iyer@gmail.com</t>
  </si>
  <si>
    <t>C061</t>
  </si>
  <si>
    <t>Manoj Reddy</t>
  </si>
  <si>
    <t>manoj.reddy@gmail.com</t>
  </si>
  <si>
    <t>C062</t>
  </si>
  <si>
    <t>Latha Kumar</t>
  </si>
  <si>
    <t>latha.kumar@gmail.com</t>
  </si>
  <si>
    <t>C063</t>
  </si>
  <si>
    <t>Amit Shah</t>
  </si>
  <si>
    <t>amit.shah@gmail.com</t>
  </si>
  <si>
    <t>C064</t>
  </si>
  <si>
    <t>Roshni Kapoor</t>
  </si>
  <si>
    <t>roshni.kapoor@gmail.com</t>
  </si>
  <si>
    <t>C065</t>
  </si>
  <si>
    <t>Suresh Nair</t>
  </si>
  <si>
    <t>suresh.nair@gmail.com</t>
  </si>
  <si>
    <t>C066</t>
  </si>
  <si>
    <t>Kavitha Rao</t>
  </si>
  <si>
    <t>kavitha.rao@gmail.com</t>
  </si>
  <si>
    <t>C067</t>
  </si>
  <si>
    <t>Deepak Sharma</t>
  </si>
  <si>
    <t>deepak.sharma@gmail.com</t>
  </si>
  <si>
    <t>C068</t>
  </si>
  <si>
    <t>Nisha Patel</t>
  </si>
  <si>
    <t>nisha.patel@gmail.com</t>
  </si>
  <si>
    <t>C069</t>
  </si>
  <si>
    <t>rajesh.kumar@gmail.com</t>
  </si>
  <si>
    <t>C070</t>
  </si>
  <si>
    <t>Pavithra Menon</t>
  </si>
  <si>
    <t>pavithra.menon@gmail.com</t>
  </si>
  <si>
    <t>C071</t>
  </si>
  <si>
    <t>Anil Verma</t>
  </si>
  <si>
    <t>anil.verma@gmail.com</t>
  </si>
  <si>
    <t>C072</t>
  </si>
  <si>
    <t>Sneha Kapoor</t>
  </si>
  <si>
    <t>sneha.kapoor@gmail.com</t>
  </si>
  <si>
    <t>C073</t>
  </si>
  <si>
    <t>Mohit Jain</t>
  </si>
  <si>
    <t>mohit.jain@gmail.com</t>
  </si>
  <si>
    <t>C074</t>
  </si>
  <si>
    <t>Rekha Nair</t>
  </si>
  <si>
    <t>rekha.nair@gmail.com</t>
  </si>
  <si>
    <t>C075</t>
  </si>
  <si>
    <t>Ravi Kumar</t>
  </si>
  <si>
    <t>ravi.kumar@gmail.com</t>
  </si>
  <si>
    <t>C076</t>
  </si>
  <si>
    <t>Priya Iyer</t>
  </si>
  <si>
    <t>priya.iyer@gmail.com</t>
  </si>
  <si>
    <t>C077</t>
  </si>
  <si>
    <t>Sanjay Reddy</t>
  </si>
  <si>
    <t>sanjay.reddy@gmail.com</t>
  </si>
  <si>
    <t>C078</t>
  </si>
  <si>
    <t>Asha Sharma</t>
  </si>
  <si>
    <t>asha.sharma@gmail.com</t>
  </si>
  <si>
    <t>C079</t>
  </si>
  <si>
    <t>Naveen Patel</t>
  </si>
  <si>
    <t>naveen.patel@gmail.com</t>
  </si>
  <si>
    <t>C080</t>
  </si>
  <si>
    <t>Swathi Kumar</t>
  </si>
  <si>
    <t>swathi.kumar@gmail.com</t>
  </si>
  <si>
    <t>C081</t>
  </si>
  <si>
    <t>Girish Rao</t>
  </si>
  <si>
    <t>girish.rao@gmail.com</t>
  </si>
  <si>
    <t>C082</t>
  </si>
  <si>
    <t>Neha Menon</t>
  </si>
  <si>
    <t>neha.menon@gmail.com</t>
  </si>
  <si>
    <t>C083</t>
  </si>
  <si>
    <t>Rohit Das</t>
  </si>
  <si>
    <t>rohit.das@gmail.com</t>
  </si>
  <si>
    <t>C084</t>
  </si>
  <si>
    <t>Shreya Singh</t>
  </si>
  <si>
    <t>shreya.singh@gmail.com</t>
  </si>
  <si>
    <t>C085</t>
  </si>
  <si>
    <t>Varun Sharma</t>
  </si>
  <si>
    <t>varun.sharma@gmail.com</t>
  </si>
  <si>
    <t>C086</t>
  </si>
  <si>
    <t>Keerthi Nair</t>
  </si>
  <si>
    <t>keerthi.nair@gmail.com</t>
  </si>
  <si>
    <t>C087</t>
  </si>
  <si>
    <t>Ajay Verma</t>
  </si>
  <si>
    <t>ajay.verma@gmail.com</t>
  </si>
  <si>
    <t>C088</t>
  </si>
  <si>
    <t>Monika Reddy</t>
  </si>
  <si>
    <t>monika.reddy@gmail.com</t>
  </si>
  <si>
    <t>C089</t>
  </si>
  <si>
    <t>Harish Kumar</t>
  </si>
  <si>
    <t>harish.kumar@gmail.com</t>
  </si>
  <si>
    <t>C090</t>
  </si>
  <si>
    <t>Deepa Menon</t>
  </si>
  <si>
    <t>deepa.menon@gmail.com</t>
  </si>
  <si>
    <t>C091</t>
  </si>
  <si>
    <t>Vikram Shah</t>
  </si>
  <si>
    <t>vikram.shah@gmail.com</t>
  </si>
  <si>
    <t>C092</t>
  </si>
  <si>
    <t>Pooja Nair</t>
  </si>
  <si>
    <t>pooja.nair@gmail.com</t>
  </si>
  <si>
    <t>C093</t>
  </si>
  <si>
    <t>Abhishek Rao</t>
  </si>
  <si>
    <t>abhishek.rao@gmail.com</t>
  </si>
  <si>
    <t>C094</t>
  </si>
  <si>
    <t>Ritu Sharma</t>
  </si>
  <si>
    <t>ritu.sharma@gmail.com</t>
  </si>
  <si>
    <t>C095</t>
  </si>
  <si>
    <t>Manish Kumar</t>
  </si>
  <si>
    <t>manish.kumar@gmail.com</t>
  </si>
  <si>
    <t>C096</t>
  </si>
  <si>
    <t>Shalini Menon</t>
  </si>
  <si>
    <t>shalini.menon@gmail.com</t>
  </si>
  <si>
    <t>C097</t>
  </si>
  <si>
    <t>Prakash Reddy</t>
  </si>
  <si>
    <t>prakash.reddy@gmail.com</t>
  </si>
  <si>
    <t>C098</t>
  </si>
  <si>
    <t>C099</t>
  </si>
  <si>
    <t>Ramesh Iyer</t>
  </si>
  <si>
    <t>ramesh.iyer@gmail.com</t>
  </si>
  <si>
    <t>C100</t>
  </si>
  <si>
    <t>Anjali Kumar</t>
  </si>
  <si>
    <t>anjali.kumar@gmail.com</t>
  </si>
  <si>
    <t>S001</t>
  </si>
  <si>
    <t>Customer_001</t>
  </si>
  <si>
    <t>Product_001</t>
  </si>
  <si>
    <t>S002</t>
  </si>
  <si>
    <t>Customer_002</t>
  </si>
  <si>
    <t>Product_002</t>
  </si>
  <si>
    <t>S003</t>
  </si>
  <si>
    <t>Customer_003</t>
  </si>
  <si>
    <t>Product_003</t>
  </si>
  <si>
    <t>S004</t>
  </si>
  <si>
    <t>Customer_004</t>
  </si>
  <si>
    <t>Product_004</t>
  </si>
  <si>
    <t>S005</t>
  </si>
  <si>
    <t>Customer_005</t>
  </si>
  <si>
    <t>Product_005</t>
  </si>
  <si>
    <t>S006</t>
  </si>
  <si>
    <t>Customer_006</t>
  </si>
  <si>
    <t>Product_006</t>
  </si>
  <si>
    <t>S007</t>
  </si>
  <si>
    <t>Customer_007</t>
  </si>
  <si>
    <t>Product_007</t>
  </si>
  <si>
    <t>S008</t>
  </si>
  <si>
    <t>Customer_008</t>
  </si>
  <si>
    <t>Product_008</t>
  </si>
  <si>
    <t>S009</t>
  </si>
  <si>
    <t>Customer_009</t>
  </si>
  <si>
    <t>Product_009</t>
  </si>
  <si>
    <t>S010</t>
  </si>
  <si>
    <t>Customer_010</t>
  </si>
  <si>
    <t>Product_010</t>
  </si>
  <si>
    <t>S011</t>
  </si>
  <si>
    <t>Customer_011</t>
  </si>
  <si>
    <t>Product_011</t>
  </si>
  <si>
    <t>S012</t>
  </si>
  <si>
    <t>Customer_012</t>
  </si>
  <si>
    <t>Product_012</t>
  </si>
  <si>
    <t>S013</t>
  </si>
  <si>
    <t>Customer_013</t>
  </si>
  <si>
    <t>Product_013</t>
  </si>
  <si>
    <t>S014</t>
  </si>
  <si>
    <t>Customer_014</t>
  </si>
  <si>
    <t>Product_014</t>
  </si>
  <si>
    <t>S015</t>
  </si>
  <si>
    <t>Customer_015</t>
  </si>
  <si>
    <t>Product_015</t>
  </si>
  <si>
    <t>S016</t>
  </si>
  <si>
    <t>Customer_016</t>
  </si>
  <si>
    <t>Product_016</t>
  </si>
  <si>
    <t>S017</t>
  </si>
  <si>
    <t>Customer_017</t>
  </si>
  <si>
    <t>Product_017</t>
  </si>
  <si>
    <t>S018</t>
  </si>
  <si>
    <t>Customer_018</t>
  </si>
  <si>
    <t>Product_018</t>
  </si>
  <si>
    <t>S019</t>
  </si>
  <si>
    <t>Customer_019</t>
  </si>
  <si>
    <t>Product_019</t>
  </si>
  <si>
    <t>S020</t>
  </si>
  <si>
    <t>Customer_020</t>
  </si>
  <si>
    <t>Product_020</t>
  </si>
  <si>
    <t>S021</t>
  </si>
  <si>
    <t>Customer_021</t>
  </si>
  <si>
    <t>Product_021</t>
  </si>
  <si>
    <t>S022</t>
  </si>
  <si>
    <t>Customer_022</t>
  </si>
  <si>
    <t>Product_022</t>
  </si>
  <si>
    <t>S023</t>
  </si>
  <si>
    <t>Customer_023</t>
  </si>
  <si>
    <t>Product_023</t>
  </si>
  <si>
    <t>S024</t>
  </si>
  <si>
    <t>Customer_024</t>
  </si>
  <si>
    <t>Product_024</t>
  </si>
  <si>
    <t>S025</t>
  </si>
  <si>
    <t>Customer_025</t>
  </si>
  <si>
    <t>Product_025</t>
  </si>
  <si>
    <t>S026</t>
  </si>
  <si>
    <t>Customer_026</t>
  </si>
  <si>
    <t>Product_026</t>
  </si>
  <si>
    <t>S027</t>
  </si>
  <si>
    <t>Customer_027</t>
  </si>
  <si>
    <t>Product_027</t>
  </si>
  <si>
    <t>S028</t>
  </si>
  <si>
    <t>Customer_028</t>
  </si>
  <si>
    <t>Product_028</t>
  </si>
  <si>
    <t>S029</t>
  </si>
  <si>
    <t>Customer_029</t>
  </si>
  <si>
    <t>Product_029</t>
  </si>
  <si>
    <t>S030</t>
  </si>
  <si>
    <t>Customer_030</t>
  </si>
  <si>
    <t>Product_030</t>
  </si>
  <si>
    <t>S031</t>
  </si>
  <si>
    <t>Customer_031</t>
  </si>
  <si>
    <t>S032</t>
  </si>
  <si>
    <t>Customer_032</t>
  </si>
  <si>
    <t>S033</t>
  </si>
  <si>
    <t>Customer_033</t>
  </si>
  <si>
    <t>S034</t>
  </si>
  <si>
    <t>Customer_034</t>
  </si>
  <si>
    <t>S035</t>
  </si>
  <si>
    <t>Customer_035</t>
  </si>
  <si>
    <t>S036</t>
  </si>
  <si>
    <t>Customer_036</t>
  </si>
  <si>
    <t>S037</t>
  </si>
  <si>
    <t>Customer_037</t>
  </si>
  <si>
    <t>S038</t>
  </si>
  <si>
    <t>Customer_038</t>
  </si>
  <si>
    <t>S039</t>
  </si>
  <si>
    <t>Customer_039</t>
  </si>
  <si>
    <t>S040</t>
  </si>
  <si>
    <t>Customer_040</t>
  </si>
  <si>
    <t>S041</t>
  </si>
  <si>
    <t>Customer_041</t>
  </si>
  <si>
    <t>S042</t>
  </si>
  <si>
    <t>Customer_042</t>
  </si>
  <si>
    <t>S043</t>
  </si>
  <si>
    <t>Customer_043</t>
  </si>
  <si>
    <t>S044</t>
  </si>
  <si>
    <t>Customer_044</t>
  </si>
  <si>
    <t>S045</t>
  </si>
  <si>
    <t>Customer_045</t>
  </si>
  <si>
    <t>S046</t>
  </si>
  <si>
    <t>Customer_046</t>
  </si>
  <si>
    <t>S047</t>
  </si>
  <si>
    <t>Customer_047</t>
  </si>
  <si>
    <t>S048</t>
  </si>
  <si>
    <t>Customer_048</t>
  </si>
  <si>
    <t>S049</t>
  </si>
  <si>
    <t>Customer_049</t>
  </si>
  <si>
    <t>S050</t>
  </si>
  <si>
    <t>Customer_050</t>
  </si>
  <si>
    <t>S051</t>
  </si>
  <si>
    <t>Customer_051</t>
  </si>
  <si>
    <t>S052</t>
  </si>
  <si>
    <t>Customer_052</t>
  </si>
  <si>
    <t>S053</t>
  </si>
  <si>
    <t>Customer_053</t>
  </si>
  <si>
    <t>S054</t>
  </si>
  <si>
    <t>Customer_054</t>
  </si>
  <si>
    <t>S055</t>
  </si>
  <si>
    <t>Customer_055</t>
  </si>
  <si>
    <t>S056</t>
  </si>
  <si>
    <t>Customer_056</t>
  </si>
  <si>
    <t>S057</t>
  </si>
  <si>
    <t>Customer_057</t>
  </si>
  <si>
    <t>S058</t>
  </si>
  <si>
    <t>Customer_058</t>
  </si>
  <si>
    <t>S059</t>
  </si>
  <si>
    <t>Customer_059</t>
  </si>
  <si>
    <t>S060</t>
  </si>
  <si>
    <t>Customer_060</t>
  </si>
  <si>
    <t>S061</t>
  </si>
  <si>
    <t>Customer_061</t>
  </si>
  <si>
    <t>S062</t>
  </si>
  <si>
    <t>Customer_062</t>
  </si>
  <si>
    <t>S063</t>
  </si>
  <si>
    <t>Customer_063</t>
  </si>
  <si>
    <t>S064</t>
  </si>
  <si>
    <t>Customer_064</t>
  </si>
  <si>
    <t>S065</t>
  </si>
  <si>
    <t>Customer_065</t>
  </si>
  <si>
    <t>S066</t>
  </si>
  <si>
    <t>Customer_066</t>
  </si>
  <si>
    <t>S067</t>
  </si>
  <si>
    <t>Customer_067</t>
  </si>
  <si>
    <t>S068</t>
  </si>
  <si>
    <t>Customer_068</t>
  </si>
  <si>
    <t>S069</t>
  </si>
  <si>
    <t>Customer_069</t>
  </si>
  <si>
    <t>S070</t>
  </si>
  <si>
    <t>Customer_070</t>
  </si>
  <si>
    <t>S071</t>
  </si>
  <si>
    <t>Customer_071</t>
  </si>
  <si>
    <t>S072</t>
  </si>
  <si>
    <t>Customer_072</t>
  </si>
  <si>
    <t>S073</t>
  </si>
  <si>
    <t>Customer_073</t>
  </si>
  <si>
    <t>S074</t>
  </si>
  <si>
    <t>Customer_074</t>
  </si>
  <si>
    <t>S075</t>
  </si>
  <si>
    <t>Customer_075</t>
  </si>
  <si>
    <t>S076</t>
  </si>
  <si>
    <t>Customer_076</t>
  </si>
  <si>
    <t>S077</t>
  </si>
  <si>
    <t>Customer_077</t>
  </si>
  <si>
    <t>S078</t>
  </si>
  <si>
    <t>Customer_078</t>
  </si>
  <si>
    <t>S079</t>
  </si>
  <si>
    <t>Customer_079</t>
  </si>
  <si>
    <t>S080</t>
  </si>
  <si>
    <t>Customer_080</t>
  </si>
  <si>
    <t>S081</t>
  </si>
  <si>
    <t>Customer_081</t>
  </si>
  <si>
    <t>S082</t>
  </si>
  <si>
    <t>Customer_082</t>
  </si>
  <si>
    <t>S083</t>
  </si>
  <si>
    <t>Customer_083</t>
  </si>
  <si>
    <t>S084</t>
  </si>
  <si>
    <t>Customer_084</t>
  </si>
  <si>
    <t>S085</t>
  </si>
  <si>
    <t>Customer_085</t>
  </si>
  <si>
    <t>S086</t>
  </si>
  <si>
    <t>Customer_086</t>
  </si>
  <si>
    <t>S087</t>
  </si>
  <si>
    <t>Customer_087</t>
  </si>
  <si>
    <t>S088</t>
  </si>
  <si>
    <t>Customer_088</t>
  </si>
  <si>
    <t>S089</t>
  </si>
  <si>
    <t>Customer_089</t>
  </si>
  <si>
    <t>S090</t>
  </si>
  <si>
    <t>Customer_090</t>
  </si>
  <si>
    <t>S091</t>
  </si>
  <si>
    <t>Customer_091</t>
  </si>
  <si>
    <t>S092</t>
  </si>
  <si>
    <t>Customer_092</t>
  </si>
  <si>
    <t>S093</t>
  </si>
  <si>
    <t>Customer_093</t>
  </si>
  <si>
    <t>S094</t>
  </si>
  <si>
    <t>Customer_094</t>
  </si>
  <si>
    <t>S095</t>
  </si>
  <si>
    <t>Customer_095</t>
  </si>
  <si>
    <t>S096</t>
  </si>
  <si>
    <t>Customer_096</t>
  </si>
  <si>
    <t>S097</t>
  </si>
  <si>
    <t>Customer_097</t>
  </si>
  <si>
    <t>S098</t>
  </si>
  <si>
    <t>Customer_098</t>
  </si>
  <si>
    <t>S099</t>
  </si>
  <si>
    <t>Customer_099</t>
  </si>
  <si>
    <t>S100</t>
  </si>
  <si>
    <t>Customer_100</t>
  </si>
  <si>
    <t>S101</t>
  </si>
  <si>
    <t>C101</t>
  </si>
  <si>
    <t>Customer_101</t>
  </si>
  <si>
    <t>S102</t>
  </si>
  <si>
    <t>C102</t>
  </si>
  <si>
    <t>Customer_102</t>
  </si>
  <si>
    <t>S103</t>
  </si>
  <si>
    <t>C103</t>
  </si>
  <si>
    <t>Customer_103</t>
  </si>
  <si>
    <t>S104</t>
  </si>
  <si>
    <t>C104</t>
  </si>
  <si>
    <t>Customer_104</t>
  </si>
  <si>
    <t>S105</t>
  </si>
  <si>
    <t>C105</t>
  </si>
  <si>
    <t>Customer_105</t>
  </si>
  <si>
    <t>S106</t>
  </si>
  <si>
    <t>C106</t>
  </si>
  <si>
    <t>Customer_106</t>
  </si>
  <si>
    <t>S107</t>
  </si>
  <si>
    <t>C107</t>
  </si>
  <si>
    <t>Customer_107</t>
  </si>
  <si>
    <t>S108</t>
  </si>
  <si>
    <t>C108</t>
  </si>
  <si>
    <t>Customer_108</t>
  </si>
  <si>
    <t>S109</t>
  </si>
  <si>
    <t>C109</t>
  </si>
  <si>
    <t>Customer_109</t>
  </si>
  <si>
    <t>S110</t>
  </si>
  <si>
    <t>C110</t>
  </si>
  <si>
    <t>Customer_110</t>
  </si>
  <si>
    <t>S111</t>
  </si>
  <si>
    <t>C111</t>
  </si>
  <si>
    <t>Customer_111</t>
  </si>
  <si>
    <t>S112</t>
  </si>
  <si>
    <t>C112</t>
  </si>
  <si>
    <t>Customer_112</t>
  </si>
  <si>
    <t>S113</t>
  </si>
  <si>
    <t>C113</t>
  </si>
  <si>
    <t>Customer_113</t>
  </si>
  <si>
    <t>S114</t>
  </si>
  <si>
    <t>C114</t>
  </si>
  <si>
    <t>Customer_114</t>
  </si>
  <si>
    <t>S115</t>
  </si>
  <si>
    <t>C115</t>
  </si>
  <si>
    <t>Customer_115</t>
  </si>
  <si>
    <t>S116</t>
  </si>
  <si>
    <t>C116</t>
  </si>
  <si>
    <t>Customer_116</t>
  </si>
  <si>
    <t>S117</t>
  </si>
  <si>
    <t>C117</t>
  </si>
  <si>
    <t>Customer_117</t>
  </si>
  <si>
    <t>S118</t>
  </si>
  <si>
    <t>C118</t>
  </si>
  <si>
    <t>Customer_118</t>
  </si>
  <si>
    <t>S119</t>
  </si>
  <si>
    <t>C119</t>
  </si>
  <si>
    <t>Customer_119</t>
  </si>
  <si>
    <t>S120</t>
  </si>
  <si>
    <t>C120</t>
  </si>
  <si>
    <t>Customer_120</t>
  </si>
  <si>
    <t>S121</t>
  </si>
  <si>
    <t>C121</t>
  </si>
  <si>
    <t>Customer_121</t>
  </si>
  <si>
    <t>S122</t>
  </si>
  <si>
    <t>C122</t>
  </si>
  <si>
    <t>Customer_122</t>
  </si>
  <si>
    <t>S123</t>
  </si>
  <si>
    <t>C123</t>
  </si>
  <si>
    <t>Customer_123</t>
  </si>
  <si>
    <t>S124</t>
  </si>
  <si>
    <t>C124</t>
  </si>
  <si>
    <t>Customer_124</t>
  </si>
  <si>
    <t>S125</t>
  </si>
  <si>
    <t>C125</t>
  </si>
  <si>
    <t>Customer_125</t>
  </si>
  <si>
    <t>S126</t>
  </si>
  <si>
    <t>C126</t>
  </si>
  <si>
    <t>Customer_126</t>
  </si>
  <si>
    <t>S127</t>
  </si>
  <si>
    <t>C127</t>
  </si>
  <si>
    <t>Customer_127</t>
  </si>
  <si>
    <t>S128</t>
  </si>
  <si>
    <t>C128</t>
  </si>
  <si>
    <t>Customer_128</t>
  </si>
  <si>
    <t>S129</t>
  </si>
  <si>
    <t>C129</t>
  </si>
  <si>
    <t>Customer_129</t>
  </si>
  <si>
    <t>S130</t>
  </si>
  <si>
    <t>C130</t>
  </si>
  <si>
    <t>Customer_130</t>
  </si>
  <si>
    <t>S131</t>
  </si>
  <si>
    <t>C131</t>
  </si>
  <si>
    <t>Customer_131</t>
  </si>
  <si>
    <t>S132</t>
  </si>
  <si>
    <t>C132</t>
  </si>
  <si>
    <t>Customer_132</t>
  </si>
  <si>
    <t>S133</t>
  </si>
  <si>
    <t>C133</t>
  </si>
  <si>
    <t>Customer_133</t>
  </si>
  <si>
    <t>S134</t>
  </si>
  <si>
    <t>C134</t>
  </si>
  <si>
    <t>Customer_134</t>
  </si>
  <si>
    <t>S135</t>
  </si>
  <si>
    <t>C135</t>
  </si>
  <si>
    <t>Customer_135</t>
  </si>
  <si>
    <t>S136</t>
  </si>
  <si>
    <t>C136</t>
  </si>
  <si>
    <t>Customer_136</t>
  </si>
  <si>
    <t>S137</t>
  </si>
  <si>
    <t>C137</t>
  </si>
  <si>
    <t>Customer_137</t>
  </si>
  <si>
    <t>S138</t>
  </si>
  <si>
    <t>C138</t>
  </si>
  <si>
    <t>Customer_138</t>
  </si>
  <si>
    <t>S139</t>
  </si>
  <si>
    <t>C139</t>
  </si>
  <si>
    <t>Customer_139</t>
  </si>
  <si>
    <t>S140</t>
  </si>
  <si>
    <t>C140</t>
  </si>
  <si>
    <t>Customer_140</t>
  </si>
  <si>
    <t>S141</t>
  </si>
  <si>
    <t>C141</t>
  </si>
  <si>
    <t>Customer_141</t>
  </si>
  <si>
    <t>S142</t>
  </si>
  <si>
    <t>C142</t>
  </si>
  <si>
    <t>Customer_142</t>
  </si>
  <si>
    <t>S143</t>
  </si>
  <si>
    <t>C143</t>
  </si>
  <si>
    <t>Customer_143</t>
  </si>
  <si>
    <t>S144</t>
  </si>
  <si>
    <t>C144</t>
  </si>
  <si>
    <t>Customer_144</t>
  </si>
  <si>
    <t>S145</t>
  </si>
  <si>
    <t>C145</t>
  </si>
  <si>
    <t>Customer_145</t>
  </si>
  <si>
    <t>S146</t>
  </si>
  <si>
    <t>C146</t>
  </si>
  <si>
    <t>Customer_146</t>
  </si>
  <si>
    <t>S147</t>
  </si>
  <si>
    <t>C147</t>
  </si>
  <si>
    <t>Customer_147</t>
  </si>
  <si>
    <t>S148</t>
  </si>
  <si>
    <t>C148</t>
  </si>
  <si>
    <t>Customer_148</t>
  </si>
  <si>
    <t>S149</t>
  </si>
  <si>
    <t>C149</t>
  </si>
  <si>
    <t>Customer_149</t>
  </si>
  <si>
    <t>S150</t>
  </si>
  <si>
    <t>C150</t>
  </si>
  <si>
    <t>Customer_150</t>
  </si>
  <si>
    <t>S151</t>
  </si>
  <si>
    <t>C151</t>
  </si>
  <si>
    <t>Customer_151</t>
  </si>
  <si>
    <t>S152</t>
  </si>
  <si>
    <t>C152</t>
  </si>
  <si>
    <t>Customer_152</t>
  </si>
  <si>
    <t>S153</t>
  </si>
  <si>
    <t>C153</t>
  </si>
  <si>
    <t>Customer_153</t>
  </si>
  <si>
    <t>S154</t>
  </si>
  <si>
    <t>C154</t>
  </si>
  <si>
    <t>Customer_154</t>
  </si>
  <si>
    <t>S155</t>
  </si>
  <si>
    <t>C155</t>
  </si>
  <si>
    <t>Customer_155</t>
  </si>
  <si>
    <t>S156</t>
  </si>
  <si>
    <t>C156</t>
  </si>
  <si>
    <t>Customer_156</t>
  </si>
  <si>
    <t>S157</t>
  </si>
  <si>
    <t>C157</t>
  </si>
  <si>
    <t>Customer_157</t>
  </si>
  <si>
    <t>S158</t>
  </si>
  <si>
    <t>C158</t>
  </si>
  <si>
    <t>Customer_158</t>
  </si>
  <si>
    <t>S159</t>
  </si>
  <si>
    <t>C159</t>
  </si>
  <si>
    <t>Customer_159</t>
  </si>
  <si>
    <t>S160</t>
  </si>
  <si>
    <t>C160</t>
  </si>
  <si>
    <t>Customer_160</t>
  </si>
  <si>
    <t>S161</t>
  </si>
  <si>
    <t>C161</t>
  </si>
  <si>
    <t>Customer_161</t>
  </si>
  <si>
    <t>S162</t>
  </si>
  <si>
    <t>C162</t>
  </si>
  <si>
    <t>Customer_162</t>
  </si>
  <si>
    <t>S163</t>
  </si>
  <si>
    <t>C163</t>
  </si>
  <si>
    <t>Customer_163</t>
  </si>
  <si>
    <t>S164</t>
  </si>
  <si>
    <t>C164</t>
  </si>
  <si>
    <t>Customer_164</t>
  </si>
  <si>
    <t>S165</t>
  </si>
  <si>
    <t>C165</t>
  </si>
  <si>
    <t>Customer_165</t>
  </si>
  <si>
    <t>S166</t>
  </si>
  <si>
    <t>C166</t>
  </si>
  <si>
    <t>Customer_166</t>
  </si>
  <si>
    <t>S167</t>
  </si>
  <si>
    <t>C167</t>
  </si>
  <si>
    <t>Customer_167</t>
  </si>
  <si>
    <t>S168</t>
  </si>
  <si>
    <t>C168</t>
  </si>
  <si>
    <t>Customer_168</t>
  </si>
  <si>
    <t>S169</t>
  </si>
  <si>
    <t>C169</t>
  </si>
  <si>
    <t>Customer_169</t>
  </si>
  <si>
    <t>S170</t>
  </si>
  <si>
    <t>C170</t>
  </si>
  <si>
    <t>Customer_170</t>
  </si>
  <si>
    <t>S171</t>
  </si>
  <si>
    <t>C171</t>
  </si>
  <si>
    <t>Customer_171</t>
  </si>
  <si>
    <t>S172</t>
  </si>
  <si>
    <t>C172</t>
  </si>
  <si>
    <t>Customer_172</t>
  </si>
  <si>
    <t>S173</t>
  </si>
  <si>
    <t>C173</t>
  </si>
  <si>
    <t>Customer_173</t>
  </si>
  <si>
    <t>S174</t>
  </si>
  <si>
    <t>C174</t>
  </si>
  <si>
    <t>Customer_174</t>
  </si>
  <si>
    <t>S175</t>
  </si>
  <si>
    <t>C175</t>
  </si>
  <si>
    <t>Customer_175</t>
  </si>
  <si>
    <t>S176</t>
  </si>
  <si>
    <t>C176</t>
  </si>
  <si>
    <t>Customer_176</t>
  </si>
  <si>
    <t>S177</t>
  </si>
  <si>
    <t>C177</t>
  </si>
  <si>
    <t>Customer_177</t>
  </si>
  <si>
    <t>S178</t>
  </si>
  <si>
    <t>C178</t>
  </si>
  <si>
    <t>Customer_178</t>
  </si>
  <si>
    <t>S179</t>
  </si>
  <si>
    <t>C179</t>
  </si>
  <si>
    <t>Customer_179</t>
  </si>
  <si>
    <t>S180</t>
  </si>
  <si>
    <t>C180</t>
  </si>
  <si>
    <t>Customer_180</t>
  </si>
  <si>
    <t>S181</t>
  </si>
  <si>
    <t>C181</t>
  </si>
  <si>
    <t>Customer_181</t>
  </si>
  <si>
    <t>S182</t>
  </si>
  <si>
    <t>C182</t>
  </si>
  <si>
    <t>Customer_182</t>
  </si>
  <si>
    <t>S183</t>
  </si>
  <si>
    <t>C183</t>
  </si>
  <si>
    <t>Customer_183</t>
  </si>
  <si>
    <t>S184</t>
  </si>
  <si>
    <t>C184</t>
  </si>
  <si>
    <t>Customer_184</t>
  </si>
  <si>
    <t>S185</t>
  </si>
  <si>
    <t>C185</t>
  </si>
  <si>
    <t>Customer_185</t>
  </si>
  <si>
    <t>S186</t>
  </si>
  <si>
    <t>C186</t>
  </si>
  <si>
    <t>Customer_186</t>
  </si>
  <si>
    <t>S187</t>
  </si>
  <si>
    <t>C187</t>
  </si>
  <si>
    <t>Customer_187</t>
  </si>
  <si>
    <t>S188</t>
  </si>
  <si>
    <t>C188</t>
  </si>
  <si>
    <t>Customer_188</t>
  </si>
  <si>
    <t>S189</t>
  </si>
  <si>
    <t>C189</t>
  </si>
  <si>
    <t>Customer_189</t>
  </si>
  <si>
    <t>S190</t>
  </si>
  <si>
    <t>C190</t>
  </si>
  <si>
    <t>Customer_190</t>
  </si>
  <si>
    <t>S191</t>
  </si>
  <si>
    <t>C191</t>
  </si>
  <si>
    <t>Customer_191</t>
  </si>
  <si>
    <t>S192</t>
  </si>
  <si>
    <t>C192</t>
  </si>
  <si>
    <t>Customer_192</t>
  </si>
  <si>
    <t>S193</t>
  </si>
  <si>
    <t>C193</t>
  </si>
  <si>
    <t>Customer_193</t>
  </si>
  <si>
    <t>S194</t>
  </si>
  <si>
    <t>C194</t>
  </si>
  <si>
    <t>Customer_194</t>
  </si>
  <si>
    <t>S195</t>
  </si>
  <si>
    <t>C195</t>
  </si>
  <si>
    <t>Customer_195</t>
  </si>
  <si>
    <t>S196</t>
  </si>
  <si>
    <t>C196</t>
  </si>
  <si>
    <t>Customer_196</t>
  </si>
  <si>
    <t>S197</t>
  </si>
  <si>
    <t>C197</t>
  </si>
  <si>
    <t>Customer_197</t>
  </si>
  <si>
    <t>S198</t>
  </si>
  <si>
    <t>C198</t>
  </si>
  <si>
    <t>Customer_198</t>
  </si>
  <si>
    <t>S199</t>
  </si>
  <si>
    <t>C199</t>
  </si>
  <si>
    <t>Customer_199</t>
  </si>
  <si>
    <t>S200</t>
  </si>
  <si>
    <t>C200</t>
  </si>
  <si>
    <t>Customer_200</t>
  </si>
  <si>
    <t>S201</t>
  </si>
  <si>
    <t>C201</t>
  </si>
  <si>
    <t>Customer_201</t>
  </si>
  <si>
    <t>S202</t>
  </si>
  <si>
    <t>C202</t>
  </si>
  <si>
    <t>Customer_202</t>
  </si>
  <si>
    <t>S203</t>
  </si>
  <si>
    <t>C203</t>
  </si>
  <si>
    <t>Customer_203</t>
  </si>
  <si>
    <t>S204</t>
  </si>
  <si>
    <t>C204</t>
  </si>
  <si>
    <t>Customer_204</t>
  </si>
  <si>
    <t>S205</t>
  </si>
  <si>
    <t>C205</t>
  </si>
  <si>
    <t>Customer_205</t>
  </si>
  <si>
    <t>S206</t>
  </si>
  <si>
    <t>C206</t>
  </si>
  <si>
    <t>Customer_206</t>
  </si>
  <si>
    <t>S207</t>
  </si>
  <si>
    <t>C207</t>
  </si>
  <si>
    <t>Customer_207</t>
  </si>
  <si>
    <t>S208</t>
  </si>
  <si>
    <t>C208</t>
  </si>
  <si>
    <t>Customer_208</t>
  </si>
  <si>
    <t>S209</t>
  </si>
  <si>
    <t>C209</t>
  </si>
  <si>
    <t>Customer_209</t>
  </si>
  <si>
    <t>S210</t>
  </si>
  <si>
    <t>C210</t>
  </si>
  <si>
    <t>Customer_210</t>
  </si>
  <si>
    <t>S211</t>
  </si>
  <si>
    <t>C211</t>
  </si>
  <si>
    <t>Customer_211</t>
  </si>
  <si>
    <t>S212</t>
  </si>
  <si>
    <t>C212</t>
  </si>
  <si>
    <t>Customer_212</t>
  </si>
  <si>
    <t>S213</t>
  </si>
  <si>
    <t>C213</t>
  </si>
  <si>
    <t>Customer_213</t>
  </si>
  <si>
    <t>S214</t>
  </si>
  <si>
    <t>C214</t>
  </si>
  <si>
    <t>Customer_214</t>
  </si>
  <si>
    <t>S215</t>
  </si>
  <si>
    <t>C215</t>
  </si>
  <si>
    <t>Customer_215</t>
  </si>
  <si>
    <t>S216</t>
  </si>
  <si>
    <t>C216</t>
  </si>
  <si>
    <t>Customer_216</t>
  </si>
  <si>
    <t>S217</t>
  </si>
  <si>
    <t>C217</t>
  </si>
  <si>
    <t>Customer_217</t>
  </si>
  <si>
    <t>S218</t>
  </si>
  <si>
    <t>C218</t>
  </si>
  <si>
    <t>Customer_218</t>
  </si>
  <si>
    <t>S219</t>
  </si>
  <si>
    <t>C219</t>
  </si>
  <si>
    <t>Customer_219</t>
  </si>
  <si>
    <t>S220</t>
  </si>
  <si>
    <t>C220</t>
  </si>
  <si>
    <t>Customer_220</t>
  </si>
  <si>
    <t>S221</t>
  </si>
  <si>
    <t>C221</t>
  </si>
  <si>
    <t>Customer_221</t>
  </si>
  <si>
    <t>S222</t>
  </si>
  <si>
    <t>C222</t>
  </si>
  <si>
    <t>Customer_222</t>
  </si>
  <si>
    <t>S223</t>
  </si>
  <si>
    <t>C223</t>
  </si>
  <si>
    <t>Customer_223</t>
  </si>
  <si>
    <t>S224</t>
  </si>
  <si>
    <t>C224</t>
  </si>
  <si>
    <t>Customer_224</t>
  </si>
  <si>
    <t>S225</t>
  </si>
  <si>
    <t>C225</t>
  </si>
  <si>
    <t>Customer_225</t>
  </si>
  <si>
    <t>S226</t>
  </si>
  <si>
    <t>C226</t>
  </si>
  <si>
    <t>Customer_226</t>
  </si>
  <si>
    <t>S227</t>
  </si>
  <si>
    <t>C227</t>
  </si>
  <si>
    <t>Customer_227</t>
  </si>
  <si>
    <t>S228</t>
  </si>
  <si>
    <t>C228</t>
  </si>
  <si>
    <t>Customer_228</t>
  </si>
  <si>
    <t>S229</t>
  </si>
  <si>
    <t>C229</t>
  </si>
  <si>
    <t>Customer_229</t>
  </si>
  <si>
    <t>S230</t>
  </si>
  <si>
    <t>C230</t>
  </si>
  <si>
    <t>Customer_230</t>
  </si>
  <si>
    <t>S231</t>
  </si>
  <si>
    <t>C231</t>
  </si>
  <si>
    <t>Customer_231</t>
  </si>
  <si>
    <t>S232</t>
  </si>
  <si>
    <t>C232</t>
  </si>
  <si>
    <t>Customer_232</t>
  </si>
  <si>
    <t>S233</t>
  </si>
  <si>
    <t>C233</t>
  </si>
  <si>
    <t>Customer_233</t>
  </si>
  <si>
    <t>S234</t>
  </si>
  <si>
    <t>C234</t>
  </si>
  <si>
    <t>Customer_234</t>
  </si>
  <si>
    <t>S235</t>
  </si>
  <si>
    <t>C235</t>
  </si>
  <si>
    <t>Customer_235</t>
  </si>
  <si>
    <t>S236</t>
  </si>
  <si>
    <t>C236</t>
  </si>
  <si>
    <t>Customer_236</t>
  </si>
  <si>
    <t>S237</t>
  </si>
  <si>
    <t>C237</t>
  </si>
  <si>
    <t>Customer_237</t>
  </si>
  <si>
    <t>S238</t>
  </si>
  <si>
    <t>C238</t>
  </si>
  <si>
    <t>Customer_238</t>
  </si>
  <si>
    <t>S239</t>
  </si>
  <si>
    <t>C239</t>
  </si>
  <si>
    <t>Customer_239</t>
  </si>
  <si>
    <t>S240</t>
  </si>
  <si>
    <t>C240</t>
  </si>
  <si>
    <t>Customer_240</t>
  </si>
  <si>
    <t>S241</t>
  </si>
  <si>
    <t>C241</t>
  </si>
  <si>
    <t>Customer_241</t>
  </si>
  <si>
    <t>S242</t>
  </si>
  <si>
    <t>C242</t>
  </si>
  <si>
    <t>Customer_242</t>
  </si>
  <si>
    <t>S243</t>
  </si>
  <si>
    <t>C243</t>
  </si>
  <si>
    <t>Customer_243</t>
  </si>
  <si>
    <t>S244</t>
  </si>
  <si>
    <t>C244</t>
  </si>
  <si>
    <t>Customer_244</t>
  </si>
  <si>
    <t>S245</t>
  </si>
  <si>
    <t>C245</t>
  </si>
  <si>
    <t>Customer_245</t>
  </si>
  <si>
    <t>S246</t>
  </si>
  <si>
    <t>C246</t>
  </si>
  <si>
    <t>Customer_246</t>
  </si>
  <si>
    <t>S247</t>
  </si>
  <si>
    <t>C247</t>
  </si>
  <si>
    <t>Customer_247</t>
  </si>
  <si>
    <t>S248</t>
  </si>
  <si>
    <t>C248</t>
  </si>
  <si>
    <t>Customer_248</t>
  </si>
  <si>
    <t>S249</t>
  </si>
  <si>
    <t>C249</t>
  </si>
  <si>
    <t>Customer_249</t>
  </si>
  <si>
    <t>S250</t>
  </si>
  <si>
    <t>C250</t>
  </si>
  <si>
    <t>Customer_250</t>
  </si>
  <si>
    <t>S251</t>
  </si>
  <si>
    <t>C251</t>
  </si>
  <si>
    <t>Customer_251</t>
  </si>
  <si>
    <t>S252</t>
  </si>
  <si>
    <t>C252</t>
  </si>
  <si>
    <t>Customer_252</t>
  </si>
  <si>
    <t>S253</t>
  </si>
  <si>
    <t>C253</t>
  </si>
  <si>
    <t>Customer_253</t>
  </si>
  <si>
    <t>S254</t>
  </si>
  <si>
    <t>C254</t>
  </si>
  <si>
    <t>Customer_254</t>
  </si>
  <si>
    <t>S255</t>
  </si>
  <si>
    <t>C255</t>
  </si>
  <si>
    <t>Customer_255</t>
  </si>
  <si>
    <t>S256</t>
  </si>
  <si>
    <t>C256</t>
  </si>
  <si>
    <t>Customer_256</t>
  </si>
  <si>
    <t>S257</t>
  </si>
  <si>
    <t>C257</t>
  </si>
  <si>
    <t>Customer_257</t>
  </si>
  <si>
    <t>S258</t>
  </si>
  <si>
    <t>C258</t>
  </si>
  <si>
    <t>Customer_258</t>
  </si>
  <si>
    <t>S259</t>
  </si>
  <si>
    <t>C259</t>
  </si>
  <si>
    <t>Customer_259</t>
  </si>
  <si>
    <t>S260</t>
  </si>
  <si>
    <t>C260</t>
  </si>
  <si>
    <t>Customer_260</t>
  </si>
  <si>
    <t>S261</t>
  </si>
  <si>
    <t>C261</t>
  </si>
  <si>
    <t>Customer_261</t>
  </si>
  <si>
    <t>S262</t>
  </si>
  <si>
    <t>C262</t>
  </si>
  <si>
    <t>Customer_262</t>
  </si>
  <si>
    <t>S263</t>
  </si>
  <si>
    <t>C263</t>
  </si>
  <si>
    <t>Customer_263</t>
  </si>
  <si>
    <t>S264</t>
  </si>
  <si>
    <t>C264</t>
  </si>
  <si>
    <t>Customer_264</t>
  </si>
  <si>
    <t>S265</t>
  </si>
  <si>
    <t>C265</t>
  </si>
  <si>
    <t>Customer_265</t>
  </si>
  <si>
    <t>S266</t>
  </si>
  <si>
    <t>C266</t>
  </si>
  <si>
    <t>Customer_266</t>
  </si>
  <si>
    <t>S267</t>
  </si>
  <si>
    <t>C267</t>
  </si>
  <si>
    <t>Customer_267</t>
  </si>
  <si>
    <t>S268</t>
  </si>
  <si>
    <t>C268</t>
  </si>
  <si>
    <t>Customer_268</t>
  </si>
  <si>
    <t>S269</t>
  </si>
  <si>
    <t>C269</t>
  </si>
  <si>
    <t>Customer_269</t>
  </si>
  <si>
    <t>S270</t>
  </si>
  <si>
    <t>C270</t>
  </si>
  <si>
    <t>Customer_270</t>
  </si>
  <si>
    <t>S271</t>
  </si>
  <si>
    <t>C271</t>
  </si>
  <si>
    <t>Customer_271</t>
  </si>
  <si>
    <t>S272</t>
  </si>
  <si>
    <t>C272</t>
  </si>
  <si>
    <t>Customer_272</t>
  </si>
  <si>
    <t>S273</t>
  </si>
  <si>
    <t>C273</t>
  </si>
  <si>
    <t>Customer_273</t>
  </si>
  <si>
    <t>S274</t>
  </si>
  <si>
    <t>C274</t>
  </si>
  <si>
    <t>Customer_274</t>
  </si>
  <si>
    <t>S275</t>
  </si>
  <si>
    <t>C275</t>
  </si>
  <si>
    <t>Customer_275</t>
  </si>
  <si>
    <t>S276</t>
  </si>
  <si>
    <t>C276</t>
  </si>
  <si>
    <t>Customer_276</t>
  </si>
  <si>
    <t>S277</t>
  </si>
  <si>
    <t>C277</t>
  </si>
  <si>
    <t>Customer_277</t>
  </si>
  <si>
    <t>S278</t>
  </si>
  <si>
    <t>C278</t>
  </si>
  <si>
    <t>Customer_278</t>
  </si>
  <si>
    <t>S279</t>
  </si>
  <si>
    <t>C279</t>
  </si>
  <si>
    <t>Customer_279</t>
  </si>
  <si>
    <t>S280</t>
  </si>
  <si>
    <t>C280</t>
  </si>
  <si>
    <t>Customer_280</t>
  </si>
  <si>
    <t>S281</t>
  </si>
  <si>
    <t>C281</t>
  </si>
  <si>
    <t>Customer_281</t>
  </si>
  <si>
    <t>S282</t>
  </si>
  <si>
    <t>C282</t>
  </si>
  <si>
    <t>Customer_282</t>
  </si>
  <si>
    <t>S283</t>
  </si>
  <si>
    <t>C283</t>
  </si>
  <si>
    <t>Customer_283</t>
  </si>
  <si>
    <t>S284</t>
  </si>
  <si>
    <t>C284</t>
  </si>
  <si>
    <t>Customer_284</t>
  </si>
  <si>
    <t>S285</t>
  </si>
  <si>
    <t>C285</t>
  </si>
  <si>
    <t>Customer_285</t>
  </si>
  <si>
    <t>S286</t>
  </si>
  <si>
    <t>C286</t>
  </si>
  <si>
    <t>Customer_286</t>
  </si>
  <si>
    <t>S287</t>
  </si>
  <si>
    <t>C287</t>
  </si>
  <si>
    <t>Customer_287</t>
  </si>
  <si>
    <t>S288</t>
  </si>
  <si>
    <t>C288</t>
  </si>
  <si>
    <t>Customer_288</t>
  </si>
  <si>
    <t>S289</t>
  </si>
  <si>
    <t>C289</t>
  </si>
  <si>
    <t>Customer_289</t>
  </si>
  <si>
    <t>S290</t>
  </si>
  <si>
    <t>C290</t>
  </si>
  <si>
    <t>Customer_290</t>
  </si>
  <si>
    <t>S291</t>
  </si>
  <si>
    <t>C291</t>
  </si>
  <si>
    <t>Customer_291</t>
  </si>
  <si>
    <t>S292</t>
  </si>
  <si>
    <t>C292</t>
  </si>
  <si>
    <t>Customer_292</t>
  </si>
  <si>
    <t>S293</t>
  </si>
  <si>
    <t>C293</t>
  </si>
  <si>
    <t>Customer_293</t>
  </si>
  <si>
    <t>S294</t>
  </si>
  <si>
    <t>C294</t>
  </si>
  <si>
    <t>Customer_294</t>
  </si>
  <si>
    <t>S295</t>
  </si>
  <si>
    <t>C295</t>
  </si>
  <si>
    <t>Customer_295</t>
  </si>
  <si>
    <t>S296</t>
  </si>
  <si>
    <t>C296</t>
  </si>
  <si>
    <t>Customer_296</t>
  </si>
  <si>
    <t>S297</t>
  </si>
  <si>
    <t>C297</t>
  </si>
  <si>
    <t>Customer_297</t>
  </si>
  <si>
    <t>S298</t>
  </si>
  <si>
    <t>C298</t>
  </si>
  <si>
    <t>Customer_298</t>
  </si>
  <si>
    <t>S299</t>
  </si>
  <si>
    <t>C299</t>
  </si>
  <si>
    <t>Customer_299</t>
  </si>
  <si>
    <t>S300</t>
  </si>
  <si>
    <t>C300</t>
  </si>
  <si>
    <t>Customer_300</t>
  </si>
  <si>
    <t>S301</t>
  </si>
  <si>
    <t>C301</t>
  </si>
  <si>
    <t>Customer_301</t>
  </si>
  <si>
    <t>S302</t>
  </si>
  <si>
    <t>C302</t>
  </si>
  <si>
    <t>Customer_302</t>
  </si>
  <si>
    <t>S303</t>
  </si>
  <si>
    <t>C303</t>
  </si>
  <si>
    <t>Customer_303</t>
  </si>
  <si>
    <t>S304</t>
  </si>
  <si>
    <t>C304</t>
  </si>
  <si>
    <t>Customer_304</t>
  </si>
  <si>
    <t>S305</t>
  </si>
  <si>
    <t>C305</t>
  </si>
  <si>
    <t>Customer_305</t>
  </si>
  <si>
    <t>S306</t>
  </si>
  <si>
    <t>C306</t>
  </si>
  <si>
    <t>Customer_306</t>
  </si>
  <si>
    <t>S307</t>
  </si>
  <si>
    <t>C307</t>
  </si>
  <si>
    <t>Customer_307</t>
  </si>
  <si>
    <t>S308</t>
  </si>
  <si>
    <t>C308</t>
  </si>
  <si>
    <t>Customer_308</t>
  </si>
  <si>
    <t>S309</t>
  </si>
  <si>
    <t>C309</t>
  </si>
  <si>
    <t>Customer_309</t>
  </si>
  <si>
    <t>S310</t>
  </si>
  <si>
    <t>C310</t>
  </si>
  <si>
    <t>Customer_310</t>
  </si>
  <si>
    <t>S311</t>
  </si>
  <si>
    <t>C311</t>
  </si>
  <si>
    <t>Customer_311</t>
  </si>
  <si>
    <t>S312</t>
  </si>
  <si>
    <t>C312</t>
  </si>
  <si>
    <t>Customer_312</t>
  </si>
  <si>
    <t>S313</t>
  </si>
  <si>
    <t>C313</t>
  </si>
  <si>
    <t>Customer_313</t>
  </si>
  <si>
    <t>S314</t>
  </si>
  <si>
    <t>C314</t>
  </si>
  <si>
    <t>Customer_314</t>
  </si>
  <si>
    <t>S315</t>
  </si>
  <si>
    <t>C315</t>
  </si>
  <si>
    <t>Customer_315</t>
  </si>
  <si>
    <t>S316</t>
  </si>
  <si>
    <t>C316</t>
  </si>
  <si>
    <t>Customer_316</t>
  </si>
  <si>
    <t>S317</t>
  </si>
  <si>
    <t>C317</t>
  </si>
  <si>
    <t>Customer_317</t>
  </si>
  <si>
    <t>S318</t>
  </si>
  <si>
    <t>C318</t>
  </si>
  <si>
    <t>Customer_318</t>
  </si>
  <si>
    <t>S319</t>
  </si>
  <si>
    <t>C319</t>
  </si>
  <si>
    <t>Customer_319</t>
  </si>
  <si>
    <t>S320</t>
  </si>
  <si>
    <t>C320</t>
  </si>
  <si>
    <t>Customer_320</t>
  </si>
  <si>
    <t>S321</t>
  </si>
  <si>
    <t>C321</t>
  </si>
  <si>
    <t>Customer_321</t>
  </si>
  <si>
    <t>S322</t>
  </si>
  <si>
    <t>C322</t>
  </si>
  <si>
    <t>Customer_322</t>
  </si>
  <si>
    <t>S323</t>
  </si>
  <si>
    <t>C323</t>
  </si>
  <si>
    <t>Customer_323</t>
  </si>
  <si>
    <t>S324</t>
  </si>
  <si>
    <t>C324</t>
  </si>
  <si>
    <t>Customer_324</t>
  </si>
  <si>
    <t>S325</t>
  </si>
  <si>
    <t>C325</t>
  </si>
  <si>
    <t>Customer_325</t>
  </si>
  <si>
    <t>S326</t>
  </si>
  <si>
    <t>C326</t>
  </si>
  <si>
    <t>Customer_326</t>
  </si>
  <si>
    <t>S327</t>
  </si>
  <si>
    <t>C327</t>
  </si>
  <si>
    <t>Customer_327</t>
  </si>
  <si>
    <t>S328</t>
  </si>
  <si>
    <t>C328</t>
  </si>
  <si>
    <t>Customer_328</t>
  </si>
  <si>
    <t>S329</t>
  </si>
  <si>
    <t>C329</t>
  </si>
  <si>
    <t>Customer_329</t>
  </si>
  <si>
    <t>S330</t>
  </si>
  <si>
    <t>C330</t>
  </si>
  <si>
    <t>Customer_330</t>
  </si>
  <si>
    <t>S331</t>
  </si>
  <si>
    <t>C331</t>
  </si>
  <si>
    <t>Customer_331</t>
  </si>
  <si>
    <t>S332</t>
  </si>
  <si>
    <t>C332</t>
  </si>
  <si>
    <t>Customer_332</t>
  </si>
  <si>
    <t>S333</t>
  </si>
  <si>
    <t>C333</t>
  </si>
  <si>
    <t>Customer_333</t>
  </si>
  <si>
    <t>S334</t>
  </si>
  <si>
    <t>C334</t>
  </si>
  <si>
    <t>Customer_334</t>
  </si>
  <si>
    <t>S335</t>
  </si>
  <si>
    <t>C335</t>
  </si>
  <si>
    <t>Customer_335</t>
  </si>
  <si>
    <t>S336</t>
  </si>
  <si>
    <t>C336</t>
  </si>
  <si>
    <t>Customer_336</t>
  </si>
  <si>
    <t>S337</t>
  </si>
  <si>
    <t>C337</t>
  </si>
  <si>
    <t>Customer_337</t>
  </si>
  <si>
    <t>S338</t>
  </si>
  <si>
    <t>C338</t>
  </si>
  <si>
    <t>Customer_338</t>
  </si>
  <si>
    <t>S339</t>
  </si>
  <si>
    <t>C339</t>
  </si>
  <si>
    <t>Customer_339</t>
  </si>
  <si>
    <t>S340</t>
  </si>
  <si>
    <t>C340</t>
  </si>
  <si>
    <t>Customer_340</t>
  </si>
  <si>
    <t>S341</t>
  </si>
  <si>
    <t>C341</t>
  </si>
  <si>
    <t>Customer_341</t>
  </si>
  <si>
    <t>S342</t>
  </si>
  <si>
    <t>C342</t>
  </si>
  <si>
    <t>Customer_342</t>
  </si>
  <si>
    <t>S343</t>
  </si>
  <si>
    <t>C343</t>
  </si>
  <si>
    <t>Customer_343</t>
  </si>
  <si>
    <t>S344</t>
  </si>
  <si>
    <t>C344</t>
  </si>
  <si>
    <t>Customer_344</t>
  </si>
  <si>
    <t>S345</t>
  </si>
  <si>
    <t>C345</t>
  </si>
  <si>
    <t>Customer_345</t>
  </si>
  <si>
    <t>S346</t>
  </si>
  <si>
    <t>C346</t>
  </si>
  <si>
    <t>Customer_346</t>
  </si>
  <si>
    <t>S347</t>
  </si>
  <si>
    <t>C347</t>
  </si>
  <si>
    <t>Customer_347</t>
  </si>
  <si>
    <t>S348</t>
  </si>
  <si>
    <t>C348</t>
  </si>
  <si>
    <t>Customer_348</t>
  </si>
  <si>
    <t>S349</t>
  </si>
  <si>
    <t>C349</t>
  </si>
  <si>
    <t>Customer_349</t>
  </si>
  <si>
    <t>S350</t>
  </si>
  <si>
    <t>C350</t>
  </si>
  <si>
    <t>Customer_350</t>
  </si>
  <si>
    <t>S351</t>
  </si>
  <si>
    <t>C351</t>
  </si>
  <si>
    <t>Customer_351</t>
  </si>
  <si>
    <t>S352</t>
  </si>
  <si>
    <t>C352</t>
  </si>
  <si>
    <t>Customer_352</t>
  </si>
  <si>
    <t>S353</t>
  </si>
  <si>
    <t>C353</t>
  </si>
  <si>
    <t>Customer_353</t>
  </si>
  <si>
    <t>S354</t>
  </si>
  <si>
    <t>C354</t>
  </si>
  <si>
    <t>Customer_354</t>
  </si>
  <si>
    <t>S355</t>
  </si>
  <si>
    <t>C355</t>
  </si>
  <si>
    <t>Customer_355</t>
  </si>
  <si>
    <t>S356</t>
  </si>
  <si>
    <t>C356</t>
  </si>
  <si>
    <t>Customer_356</t>
  </si>
  <si>
    <t>S357</t>
  </si>
  <si>
    <t>C357</t>
  </si>
  <si>
    <t>Customer_357</t>
  </si>
  <si>
    <t>S358</t>
  </si>
  <si>
    <t>C358</t>
  </si>
  <si>
    <t>Customer_358</t>
  </si>
  <si>
    <t>S359</t>
  </si>
  <si>
    <t>C359</t>
  </si>
  <si>
    <t>Customer_359</t>
  </si>
  <si>
    <t>S360</t>
  </si>
  <si>
    <t>C360</t>
  </si>
  <si>
    <t>Customer_360</t>
  </si>
  <si>
    <t>S361</t>
  </si>
  <si>
    <t>C361</t>
  </si>
  <si>
    <t>Customer_361</t>
  </si>
  <si>
    <t>S362</t>
  </si>
  <si>
    <t>C362</t>
  </si>
  <si>
    <t>Customer_362</t>
  </si>
  <si>
    <t>S363</t>
  </si>
  <si>
    <t>C363</t>
  </si>
  <si>
    <t>Customer_363</t>
  </si>
  <si>
    <t>S364</t>
  </si>
  <si>
    <t>C364</t>
  </si>
  <si>
    <t>Customer_364</t>
  </si>
  <si>
    <t>S365</t>
  </si>
  <si>
    <t>C365</t>
  </si>
  <si>
    <t>Customer_365</t>
  </si>
  <si>
    <t>S366</t>
  </si>
  <si>
    <t>C366</t>
  </si>
  <si>
    <t>Customer_366</t>
  </si>
  <si>
    <t>S367</t>
  </si>
  <si>
    <t>C367</t>
  </si>
  <si>
    <t>Customer_367</t>
  </si>
  <si>
    <t>S368</t>
  </si>
  <si>
    <t>C368</t>
  </si>
  <si>
    <t>Customer_368</t>
  </si>
  <si>
    <t>S369</t>
  </si>
  <si>
    <t>C369</t>
  </si>
  <si>
    <t>Customer_369</t>
  </si>
  <si>
    <t>S370</t>
  </si>
  <si>
    <t>C370</t>
  </si>
  <si>
    <t>Customer_370</t>
  </si>
  <si>
    <t>S371</t>
  </si>
  <si>
    <t>C371</t>
  </si>
  <si>
    <t>Customer_371</t>
  </si>
  <si>
    <t>S372</t>
  </si>
  <si>
    <t>C372</t>
  </si>
  <si>
    <t>Customer_372</t>
  </si>
  <si>
    <t>S373</t>
  </si>
  <si>
    <t>C373</t>
  </si>
  <si>
    <t>Customer_373</t>
  </si>
  <si>
    <t>S374</t>
  </si>
  <si>
    <t>C374</t>
  </si>
  <si>
    <t>Customer_374</t>
  </si>
  <si>
    <t>S375</t>
  </si>
  <si>
    <t>C375</t>
  </si>
  <si>
    <t>Customer_375</t>
  </si>
  <si>
    <t>S376</t>
  </si>
  <si>
    <t>C376</t>
  </si>
  <si>
    <t>Customer_376</t>
  </si>
  <si>
    <t>S377</t>
  </si>
  <si>
    <t>C377</t>
  </si>
  <si>
    <t>Customer_377</t>
  </si>
  <si>
    <t>S378</t>
  </si>
  <si>
    <t>C378</t>
  </si>
  <si>
    <t>Customer_378</t>
  </si>
  <si>
    <t>S379</t>
  </si>
  <si>
    <t>C379</t>
  </si>
  <si>
    <t>Customer_379</t>
  </si>
  <si>
    <t>S380</t>
  </si>
  <si>
    <t>C380</t>
  </si>
  <si>
    <t>Customer_380</t>
  </si>
  <si>
    <t>S381</t>
  </si>
  <si>
    <t>C381</t>
  </si>
  <si>
    <t>Customer_381</t>
  </si>
  <si>
    <t>S382</t>
  </si>
  <si>
    <t>C382</t>
  </si>
  <si>
    <t>Customer_382</t>
  </si>
  <si>
    <t>S383</t>
  </si>
  <si>
    <t>C383</t>
  </si>
  <si>
    <t>Customer_383</t>
  </si>
  <si>
    <t>S384</t>
  </si>
  <si>
    <t>C384</t>
  </si>
  <si>
    <t>Customer_384</t>
  </si>
  <si>
    <t>S385</t>
  </si>
  <si>
    <t>C385</t>
  </si>
  <si>
    <t>Customer_385</t>
  </si>
  <si>
    <t>S386</t>
  </si>
  <si>
    <t>C386</t>
  </si>
  <si>
    <t>Customer_386</t>
  </si>
  <si>
    <t>S387</t>
  </si>
  <si>
    <t>C387</t>
  </si>
  <si>
    <t>Customer_387</t>
  </si>
  <si>
    <t>S388</t>
  </si>
  <si>
    <t>C388</t>
  </si>
  <si>
    <t>Customer_388</t>
  </si>
  <si>
    <t>S389</t>
  </si>
  <si>
    <t>C389</t>
  </si>
  <si>
    <t>Customer_389</t>
  </si>
  <si>
    <t>S390</t>
  </si>
  <si>
    <t>C390</t>
  </si>
  <si>
    <t>Customer_390</t>
  </si>
  <si>
    <t>S391</t>
  </si>
  <si>
    <t>C391</t>
  </si>
  <si>
    <t>Customer_391</t>
  </si>
  <si>
    <t>S392</t>
  </si>
  <si>
    <t>C392</t>
  </si>
  <si>
    <t>Customer_392</t>
  </si>
  <si>
    <t>S393</t>
  </si>
  <si>
    <t>C393</t>
  </si>
  <si>
    <t>Customer_393</t>
  </si>
  <si>
    <t>S394</t>
  </si>
  <si>
    <t>C394</t>
  </si>
  <si>
    <t>Customer_394</t>
  </si>
  <si>
    <t>S395</t>
  </si>
  <si>
    <t>C395</t>
  </si>
  <si>
    <t>Customer_395</t>
  </si>
  <si>
    <t>S396</t>
  </si>
  <si>
    <t>C396</t>
  </si>
  <si>
    <t>Customer_396</t>
  </si>
  <si>
    <t>S397</t>
  </si>
  <si>
    <t>C397</t>
  </si>
  <si>
    <t>Customer_397</t>
  </si>
  <si>
    <t>S398</t>
  </si>
  <si>
    <t>C398</t>
  </si>
  <si>
    <t>Customer_398</t>
  </si>
  <si>
    <t>S399</t>
  </si>
  <si>
    <t>C399</t>
  </si>
  <si>
    <t>Customer_399</t>
  </si>
  <si>
    <t>S400</t>
  </si>
  <si>
    <t>C400</t>
  </si>
  <si>
    <t>Customer_400</t>
  </si>
  <si>
    <t>S401</t>
  </si>
  <si>
    <t>C401</t>
  </si>
  <si>
    <t>Customer_401</t>
  </si>
  <si>
    <t>S402</t>
  </si>
  <si>
    <t>C402</t>
  </si>
  <si>
    <t>Customer_402</t>
  </si>
  <si>
    <t>S403</t>
  </si>
  <si>
    <t>C403</t>
  </si>
  <si>
    <t>Customer_403</t>
  </si>
  <si>
    <t>S404</t>
  </si>
  <si>
    <t>C404</t>
  </si>
  <si>
    <t>Customer_404</t>
  </si>
  <si>
    <t>S405</t>
  </si>
  <si>
    <t>C405</t>
  </si>
  <si>
    <t>Customer_405</t>
  </si>
  <si>
    <t>S406</t>
  </si>
  <si>
    <t>C406</t>
  </si>
  <si>
    <t>Customer_406</t>
  </si>
  <si>
    <t>S407</t>
  </si>
  <si>
    <t>C407</t>
  </si>
  <si>
    <t>Customer_407</t>
  </si>
  <si>
    <t>S408</t>
  </si>
  <si>
    <t>C408</t>
  </si>
  <si>
    <t>Customer_408</t>
  </si>
  <si>
    <t>S409</t>
  </si>
  <si>
    <t>C409</t>
  </si>
  <si>
    <t>Customer_409</t>
  </si>
  <si>
    <t>S410</t>
  </si>
  <si>
    <t>C410</t>
  </si>
  <si>
    <t>Customer_410</t>
  </si>
  <si>
    <t>S411</t>
  </si>
  <si>
    <t>C411</t>
  </si>
  <si>
    <t>Customer_411</t>
  </si>
  <si>
    <t>S412</t>
  </si>
  <si>
    <t>C412</t>
  </si>
  <si>
    <t>Customer_412</t>
  </si>
  <si>
    <t>S413</t>
  </si>
  <si>
    <t>C413</t>
  </si>
  <si>
    <t>Customer_413</t>
  </si>
  <si>
    <t>S414</t>
  </si>
  <si>
    <t>C414</t>
  </si>
  <si>
    <t>Customer_414</t>
  </si>
  <si>
    <t>S415</t>
  </si>
  <si>
    <t>C415</t>
  </si>
  <si>
    <t>Customer_415</t>
  </si>
  <si>
    <t>S416</t>
  </si>
  <si>
    <t>C416</t>
  </si>
  <si>
    <t>Customer_416</t>
  </si>
  <si>
    <t>S417</t>
  </si>
  <si>
    <t>C417</t>
  </si>
  <si>
    <t>Customer_417</t>
  </si>
  <si>
    <t>S418</t>
  </si>
  <si>
    <t>C418</t>
  </si>
  <si>
    <t>Customer_418</t>
  </si>
  <si>
    <t>S419</t>
  </si>
  <si>
    <t>C419</t>
  </si>
  <si>
    <t>Customer_419</t>
  </si>
  <si>
    <t>S420</t>
  </si>
  <si>
    <t>C420</t>
  </si>
  <si>
    <t>Customer_420</t>
  </si>
  <si>
    <t>S421</t>
  </si>
  <si>
    <t>C421</t>
  </si>
  <si>
    <t>Customer_421</t>
  </si>
  <si>
    <t>S422</t>
  </si>
  <si>
    <t>C422</t>
  </si>
  <si>
    <t>Customer_422</t>
  </si>
  <si>
    <t>S423</t>
  </si>
  <si>
    <t>C423</t>
  </si>
  <si>
    <t>Customer_423</t>
  </si>
  <si>
    <t>S424</t>
  </si>
  <si>
    <t>C424</t>
  </si>
  <si>
    <t>Customer_424</t>
  </si>
  <si>
    <t>S425</t>
  </si>
  <si>
    <t>C425</t>
  </si>
  <si>
    <t>Customer_425</t>
  </si>
  <si>
    <t>S426</t>
  </si>
  <si>
    <t>C426</t>
  </si>
  <si>
    <t>Customer_426</t>
  </si>
  <si>
    <t>S427</t>
  </si>
  <si>
    <t>C427</t>
  </si>
  <si>
    <t>Customer_427</t>
  </si>
  <si>
    <t>S428</t>
  </si>
  <si>
    <t>C428</t>
  </si>
  <si>
    <t>Customer_428</t>
  </si>
  <si>
    <t>S429</t>
  </si>
  <si>
    <t>C429</t>
  </si>
  <si>
    <t>Customer_429</t>
  </si>
  <si>
    <t>S430</t>
  </si>
  <si>
    <t>C430</t>
  </si>
  <si>
    <t>Customer_430</t>
  </si>
  <si>
    <t>S431</t>
  </si>
  <si>
    <t>C431</t>
  </si>
  <si>
    <t>Customer_431</t>
  </si>
  <si>
    <t>S432</t>
  </si>
  <si>
    <t>C432</t>
  </si>
  <si>
    <t>Customer_432</t>
  </si>
  <si>
    <t>S433</t>
  </si>
  <si>
    <t>C433</t>
  </si>
  <si>
    <t>Customer_433</t>
  </si>
  <si>
    <t>S434</t>
  </si>
  <si>
    <t>C434</t>
  </si>
  <si>
    <t>Customer_434</t>
  </si>
  <si>
    <t>S435</t>
  </si>
  <si>
    <t>C435</t>
  </si>
  <si>
    <t>Customer_435</t>
  </si>
  <si>
    <t>S436</t>
  </si>
  <si>
    <t>C436</t>
  </si>
  <si>
    <t>Customer_436</t>
  </si>
  <si>
    <t>S437</t>
  </si>
  <si>
    <t>C437</t>
  </si>
  <si>
    <t>Customer_437</t>
  </si>
  <si>
    <t>S438</t>
  </si>
  <si>
    <t>C438</t>
  </si>
  <si>
    <t>Customer_438</t>
  </si>
  <si>
    <t>S439</t>
  </si>
  <si>
    <t>C439</t>
  </si>
  <si>
    <t>Customer_439</t>
  </si>
  <si>
    <t>S440</t>
  </si>
  <si>
    <t>C440</t>
  </si>
  <si>
    <t>Customer_440</t>
  </si>
  <si>
    <t>S441</t>
  </si>
  <si>
    <t>C441</t>
  </si>
  <si>
    <t>Customer_441</t>
  </si>
  <si>
    <t>S442</t>
  </si>
  <si>
    <t>C442</t>
  </si>
  <si>
    <t>Customer_442</t>
  </si>
  <si>
    <t>S443</t>
  </si>
  <si>
    <t>C443</t>
  </si>
  <si>
    <t>Customer_443</t>
  </si>
  <si>
    <t>S444</t>
  </si>
  <si>
    <t>C444</t>
  </si>
  <si>
    <t>Customer_444</t>
  </si>
  <si>
    <t>S445</t>
  </si>
  <si>
    <t>C445</t>
  </si>
  <si>
    <t>Customer_445</t>
  </si>
  <si>
    <t>S446</t>
  </si>
  <si>
    <t>C446</t>
  </si>
  <si>
    <t>Customer_446</t>
  </si>
  <si>
    <t>S447</t>
  </si>
  <si>
    <t>C447</t>
  </si>
  <si>
    <t>Customer_447</t>
  </si>
  <si>
    <t>S448</t>
  </si>
  <si>
    <t>C448</t>
  </si>
  <si>
    <t>Customer_448</t>
  </si>
  <si>
    <t>S449</t>
  </si>
  <si>
    <t>C449</t>
  </si>
  <si>
    <t>Customer_449</t>
  </si>
  <si>
    <t>S450</t>
  </si>
  <si>
    <t>C450</t>
  </si>
  <si>
    <t>Customer_450</t>
  </si>
  <si>
    <t>S451</t>
  </si>
  <si>
    <t>C451</t>
  </si>
  <si>
    <t>Customer_451</t>
  </si>
  <si>
    <t>S452</t>
  </si>
  <si>
    <t>C452</t>
  </si>
  <si>
    <t>Customer_452</t>
  </si>
  <si>
    <t>S453</t>
  </si>
  <si>
    <t>C453</t>
  </si>
  <si>
    <t>Customer_453</t>
  </si>
  <si>
    <t>S454</t>
  </si>
  <si>
    <t>C454</t>
  </si>
  <si>
    <t>Customer_454</t>
  </si>
  <si>
    <t>S455</t>
  </si>
  <si>
    <t>C455</t>
  </si>
  <si>
    <t>Customer_455</t>
  </si>
  <si>
    <t>S456</t>
  </si>
  <si>
    <t>C456</t>
  </si>
  <si>
    <t>Customer_456</t>
  </si>
  <si>
    <t>S457</t>
  </si>
  <si>
    <t>C457</t>
  </si>
  <si>
    <t>Customer_457</t>
  </si>
  <si>
    <t>S458</t>
  </si>
  <si>
    <t>C458</t>
  </si>
  <si>
    <t>Customer_458</t>
  </si>
  <si>
    <t>S459</t>
  </si>
  <si>
    <t>C459</t>
  </si>
  <si>
    <t>Customer_459</t>
  </si>
  <si>
    <t>S460</t>
  </si>
  <si>
    <t>C460</t>
  </si>
  <si>
    <t>Customer_460</t>
  </si>
  <si>
    <t>S461</t>
  </si>
  <si>
    <t>C461</t>
  </si>
  <si>
    <t>Customer_461</t>
  </si>
  <si>
    <t>S462</t>
  </si>
  <si>
    <t>C462</t>
  </si>
  <si>
    <t>Customer_462</t>
  </si>
  <si>
    <t>S463</t>
  </si>
  <si>
    <t>C463</t>
  </si>
  <si>
    <t>Customer_463</t>
  </si>
  <si>
    <t>S464</t>
  </si>
  <si>
    <t>C464</t>
  </si>
  <si>
    <t>Customer_464</t>
  </si>
  <si>
    <t>S465</t>
  </si>
  <si>
    <t>C465</t>
  </si>
  <si>
    <t>Customer_465</t>
  </si>
  <si>
    <t>S466</t>
  </si>
  <si>
    <t>C466</t>
  </si>
  <si>
    <t>Customer_466</t>
  </si>
  <si>
    <t>S467</t>
  </si>
  <si>
    <t>C467</t>
  </si>
  <si>
    <t>Customer_467</t>
  </si>
  <si>
    <t>S468</t>
  </si>
  <si>
    <t>C468</t>
  </si>
  <si>
    <t>Customer_468</t>
  </si>
  <si>
    <t>S469</t>
  </si>
  <si>
    <t>C469</t>
  </si>
  <si>
    <t>Customer_469</t>
  </si>
  <si>
    <t>S470</t>
  </si>
  <si>
    <t>C470</t>
  </si>
  <si>
    <t>Customer_470</t>
  </si>
  <si>
    <t>S471</t>
  </si>
  <si>
    <t>C471</t>
  </si>
  <si>
    <t>Customer_471</t>
  </si>
  <si>
    <t>S472</t>
  </si>
  <si>
    <t>C472</t>
  </si>
  <si>
    <t>Customer_472</t>
  </si>
  <si>
    <t>S473</t>
  </si>
  <si>
    <t>C473</t>
  </si>
  <si>
    <t>Customer_473</t>
  </si>
  <si>
    <t>S474</t>
  </si>
  <si>
    <t>C474</t>
  </si>
  <si>
    <t>Customer_474</t>
  </si>
  <si>
    <t>S475</t>
  </si>
  <si>
    <t>C475</t>
  </si>
  <si>
    <t>Customer_475</t>
  </si>
  <si>
    <t>S476</t>
  </si>
  <si>
    <t>C476</t>
  </si>
  <si>
    <t>Customer_476</t>
  </si>
  <si>
    <t>S477</t>
  </si>
  <si>
    <t>C477</t>
  </si>
  <si>
    <t>Customer_477</t>
  </si>
  <si>
    <t>S478</t>
  </si>
  <si>
    <t>C478</t>
  </si>
  <si>
    <t>Customer_478</t>
  </si>
  <si>
    <t>S479</t>
  </si>
  <si>
    <t>C479</t>
  </si>
  <si>
    <t>Customer_479</t>
  </si>
  <si>
    <t>S480</t>
  </si>
  <si>
    <t>C480</t>
  </si>
  <si>
    <t>Customer_480</t>
  </si>
  <si>
    <t>S481</t>
  </si>
  <si>
    <t>C481</t>
  </si>
  <si>
    <t>Customer_481</t>
  </si>
  <si>
    <t>S482</t>
  </si>
  <si>
    <t>C482</t>
  </si>
  <si>
    <t>Customer_482</t>
  </si>
  <si>
    <t>S483</t>
  </si>
  <si>
    <t>C483</t>
  </si>
  <si>
    <t>Customer_483</t>
  </si>
  <si>
    <t>S484</t>
  </si>
  <si>
    <t>C484</t>
  </si>
  <si>
    <t>Customer_484</t>
  </si>
  <si>
    <t>S485</t>
  </si>
  <si>
    <t>C485</t>
  </si>
  <si>
    <t>Customer_485</t>
  </si>
  <si>
    <t>S486</t>
  </si>
  <si>
    <t>C486</t>
  </si>
  <si>
    <t>Customer_486</t>
  </si>
  <si>
    <t>S487</t>
  </si>
  <si>
    <t>C487</t>
  </si>
  <si>
    <t>Customer_487</t>
  </si>
  <si>
    <t>S488</t>
  </si>
  <si>
    <t>C488</t>
  </si>
  <si>
    <t>Customer_488</t>
  </si>
  <si>
    <t>S489</t>
  </si>
  <si>
    <t>C489</t>
  </si>
  <si>
    <t>Customer_489</t>
  </si>
  <si>
    <t>S490</t>
  </si>
  <si>
    <t>C490</t>
  </si>
  <si>
    <t>Customer_490</t>
  </si>
  <si>
    <t>S491</t>
  </si>
  <si>
    <t>C491</t>
  </si>
  <si>
    <t>Customer_491</t>
  </si>
  <si>
    <t>S492</t>
  </si>
  <si>
    <t>C492</t>
  </si>
  <si>
    <t>Customer_492</t>
  </si>
  <si>
    <t>S493</t>
  </si>
  <si>
    <t>C493</t>
  </si>
  <si>
    <t>Customer_493</t>
  </si>
  <si>
    <t>S494</t>
  </si>
  <si>
    <t>C494</t>
  </si>
  <si>
    <t>Customer_494</t>
  </si>
  <si>
    <t>S495</t>
  </si>
  <si>
    <t>C495</t>
  </si>
  <si>
    <t>Customer_495</t>
  </si>
  <si>
    <t>S496</t>
  </si>
  <si>
    <t>C496</t>
  </si>
  <si>
    <t>Customer_496</t>
  </si>
  <si>
    <t>S497</t>
  </si>
  <si>
    <t>C497</t>
  </si>
  <si>
    <t>Customer_497</t>
  </si>
  <si>
    <t>S498</t>
  </si>
  <si>
    <t>C498</t>
  </si>
  <si>
    <t>Customer_498</t>
  </si>
  <si>
    <t>S499</t>
  </si>
  <si>
    <t>C499</t>
  </si>
  <si>
    <t>Customer_499</t>
  </si>
  <si>
    <t>S500</t>
  </si>
  <si>
    <t>C500</t>
  </si>
  <si>
    <t>Customer_500</t>
  </si>
  <si>
    <t>Toatal Sales</t>
  </si>
  <si>
    <t>Total  Orders</t>
  </si>
  <si>
    <t>Average Sales</t>
  </si>
  <si>
    <t>Total Quntity</t>
  </si>
  <si>
    <t>furniture</t>
  </si>
  <si>
    <t>Mubai</t>
  </si>
  <si>
    <t>Payment  Method</t>
  </si>
  <si>
    <t>Ordes</t>
  </si>
  <si>
    <t>Order Status</t>
  </si>
  <si>
    <t>Delivery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</si>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</sst>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&quot;₹&quot;\ #,##0.00"/>
    <numFmt numFmtId="166" formatCode="_ [$₹-4009]\ * #,##0.00_ ;_ [$₹-4009]\ * \-#,##0.00_ ;_ [$₹-4009]\ 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4" fontId="0" fillId="0" borderId="1" xfId="2" applyFon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44" fontId="0" fillId="3" borderId="1" xfId="2" applyFont="1" applyFill="1" applyBorder="1" applyAlignment="1">
      <alignment horizontal="center"/>
    </xf>
    <xf numFmtId="44" fontId="0" fillId="0" borderId="0" xfId="2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44" fontId="7" fillId="4" borderId="1" xfId="2" applyFont="1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uresh.babu@gmail.com" TargetMode="External"/><Relationship Id="rId18" Type="http://schemas.openxmlformats.org/officeDocument/2006/relationships/hyperlink" Target="mailto:swathi.nair@gmail.com" TargetMode="External"/><Relationship Id="rId26" Type="http://schemas.openxmlformats.org/officeDocument/2006/relationships/hyperlink" Target="mailto:monika.das@gmail.com" TargetMode="External"/><Relationship Id="rId39" Type="http://schemas.openxmlformats.org/officeDocument/2006/relationships/hyperlink" Target="mailto:kiran.patel@gmail.com" TargetMode="External"/><Relationship Id="rId21" Type="http://schemas.openxmlformats.org/officeDocument/2006/relationships/hyperlink" Target="mailto:varun.das@gmail.com" TargetMode="External"/><Relationship Id="rId34" Type="http://schemas.openxmlformats.org/officeDocument/2006/relationships/hyperlink" Target="mailto:deepa.kumar@gmail.com" TargetMode="External"/><Relationship Id="rId42" Type="http://schemas.openxmlformats.org/officeDocument/2006/relationships/hyperlink" Target="mailto:nandhini.raj@gmail.com" TargetMode="External"/><Relationship Id="rId47" Type="http://schemas.openxmlformats.org/officeDocument/2006/relationships/hyperlink" Target="mailto:sandeep.rao@gmail.com" TargetMode="External"/><Relationship Id="rId50" Type="http://schemas.openxmlformats.org/officeDocument/2006/relationships/hyperlink" Target="mailto:asha.menon@gmail.com" TargetMode="External"/><Relationship Id="rId7" Type="http://schemas.openxmlformats.org/officeDocument/2006/relationships/hyperlink" Target="mailto:arjun.patel@gmail.com" TargetMode="External"/><Relationship Id="rId2" Type="http://schemas.openxmlformats.org/officeDocument/2006/relationships/hyperlink" Target="mailto:ananya.sharma@gmail.com" TargetMode="External"/><Relationship Id="rId16" Type="http://schemas.openxmlformats.org/officeDocument/2006/relationships/hyperlink" Target="mailto:aishwarya.raj@gmail.com" TargetMode="External"/><Relationship Id="rId29" Type="http://schemas.openxmlformats.org/officeDocument/2006/relationships/hyperlink" Target="mailto:abhishek.singh@gmail.com" TargetMode="External"/><Relationship Id="rId11" Type="http://schemas.openxmlformats.org/officeDocument/2006/relationships/hyperlink" Target="mailto:nikhil.rao@gmail.com" TargetMode="External"/><Relationship Id="rId24" Type="http://schemas.openxmlformats.org/officeDocument/2006/relationships/hyperlink" Target="mailto:shalini.rao@gmail.com" TargetMode="External"/><Relationship Id="rId32" Type="http://schemas.openxmlformats.org/officeDocument/2006/relationships/hyperlink" Target="mailto:anjali.menon@gmail.com" TargetMode="External"/><Relationship Id="rId37" Type="http://schemas.openxmlformats.org/officeDocument/2006/relationships/hyperlink" Target="mailto:arvind.raj@gmail.com" TargetMode="External"/><Relationship Id="rId40" Type="http://schemas.openxmlformats.org/officeDocument/2006/relationships/hyperlink" Target="mailto:reshma.ali@gmail.com" TargetMode="External"/><Relationship Id="rId45" Type="http://schemas.openxmlformats.org/officeDocument/2006/relationships/hyperlink" Target="mailto:ramesh.gupta@gmail.com" TargetMode="External"/><Relationship Id="rId5" Type="http://schemas.openxmlformats.org/officeDocument/2006/relationships/hyperlink" Target="mailto:vikram.singh@gmail.com" TargetMode="External"/><Relationship Id="rId15" Type="http://schemas.openxmlformats.org/officeDocument/2006/relationships/hyperlink" Target="mailto:manish.gupta@gmail.com" TargetMode="External"/><Relationship Id="rId23" Type="http://schemas.openxmlformats.org/officeDocument/2006/relationships/hyperlink" Target="mailto:naveen.kumar@gmail.com" TargetMode="External"/><Relationship Id="rId28" Type="http://schemas.openxmlformats.org/officeDocument/2006/relationships/hyperlink" Target="mailto:neha.iyer@gmail.com" TargetMode="External"/><Relationship Id="rId36" Type="http://schemas.openxmlformats.org/officeDocument/2006/relationships/hyperlink" Target="mailto:meena.krishnan@gmail.com" TargetMode="External"/><Relationship Id="rId49" Type="http://schemas.openxmlformats.org/officeDocument/2006/relationships/hyperlink" Target="mailto:gautham.iyer@gmail.com" TargetMode="External"/><Relationship Id="rId10" Type="http://schemas.openxmlformats.org/officeDocument/2006/relationships/hyperlink" Target="mailto:divya.krishnan@gmail.com" TargetMode="External"/><Relationship Id="rId19" Type="http://schemas.openxmlformats.org/officeDocument/2006/relationships/hyperlink" Target="mailto:ajay.menon@gmail.com" TargetMode="External"/><Relationship Id="rId31" Type="http://schemas.openxmlformats.org/officeDocument/2006/relationships/hyperlink" Target="mailto:rahul.nair@gmail.com" TargetMode="External"/><Relationship Id="rId44" Type="http://schemas.openxmlformats.org/officeDocument/2006/relationships/hyperlink" Target="mailto:swetha.nair@gmail.com" TargetMode="External"/><Relationship Id="rId4" Type="http://schemas.openxmlformats.org/officeDocument/2006/relationships/hyperlink" Target="mailto:sneha.reddy@gmail.com" TargetMode="External"/><Relationship Id="rId9" Type="http://schemas.openxmlformats.org/officeDocument/2006/relationships/hyperlink" Target="mailto:karan.mehata@gmail.com" TargetMode="External"/><Relationship Id="rId14" Type="http://schemas.openxmlformats.org/officeDocument/2006/relationships/hyperlink" Target="mailto:riya.kapoor@gmail.com" TargetMode="External"/><Relationship Id="rId22" Type="http://schemas.openxmlformats.org/officeDocument/2006/relationships/hyperlink" Target="mailto:ishita.roy@gmail.com" TargetMode="External"/><Relationship Id="rId27" Type="http://schemas.openxmlformats.org/officeDocument/2006/relationships/hyperlink" Target="mailto:praveen.raj@gmail.com" TargetMode="External"/><Relationship Id="rId30" Type="http://schemas.openxmlformats.org/officeDocument/2006/relationships/hyperlink" Target="mailto:swetha.reddy@gmail.com" TargetMode="External"/><Relationship Id="rId35" Type="http://schemas.openxmlformats.org/officeDocument/2006/relationships/hyperlink" Target="mailto:sanjay.rao@gmail.com" TargetMode="External"/><Relationship Id="rId43" Type="http://schemas.openxmlformats.org/officeDocument/2006/relationships/hyperlink" Target="mailto:manoj.kumar@gmail.com" TargetMode="External"/><Relationship Id="rId48" Type="http://schemas.openxmlformats.org/officeDocument/2006/relationships/hyperlink" Target="mailto:keerthi.reddy@gmail.com" TargetMode="External"/><Relationship Id="rId8" Type="http://schemas.openxmlformats.org/officeDocument/2006/relationships/hyperlink" Target="mailto:meera.iyer@gmail.com" TargetMode="External"/><Relationship Id="rId3" Type="http://schemas.openxmlformats.org/officeDocument/2006/relationships/hyperlink" Target="mailto:rohit.verma@gmail.com" TargetMode="External"/><Relationship Id="rId12" Type="http://schemas.openxmlformats.org/officeDocument/2006/relationships/hyperlink" Target="mailto:kavya.menon@gmail.com" TargetMode="External"/><Relationship Id="rId17" Type="http://schemas.openxmlformats.org/officeDocument/2006/relationships/hyperlink" Target="mailto:deepak.kumar@gmail.com" TargetMode="External"/><Relationship Id="rId25" Type="http://schemas.openxmlformats.org/officeDocument/2006/relationships/hyperlink" Target="mailto:akash..jain@gmail.com" TargetMode="External"/><Relationship Id="rId33" Type="http://schemas.openxmlformats.org/officeDocument/2006/relationships/hyperlink" Target="mailto:rohit.sherma@gmail.com" TargetMode="External"/><Relationship Id="rId38" Type="http://schemas.openxmlformats.org/officeDocument/2006/relationships/hyperlink" Target="mailto:padmini.das@gmail.com" TargetMode="External"/><Relationship Id="rId46" Type="http://schemas.openxmlformats.org/officeDocument/2006/relationships/hyperlink" Target="mailto:divya.shah@gmail.com" TargetMode="External"/><Relationship Id="rId20" Type="http://schemas.openxmlformats.org/officeDocument/2006/relationships/hyperlink" Target="mailto:pooja.sharma@gmail.com" TargetMode="External"/><Relationship Id="rId41" Type="http://schemas.openxmlformats.org/officeDocument/2006/relationships/hyperlink" Target="mailto:hari.prasad@gmail.com" TargetMode="External"/><Relationship Id="rId1" Type="http://schemas.openxmlformats.org/officeDocument/2006/relationships/hyperlink" Target="mailto:aditya.kumar@gmail.com" TargetMode="External"/><Relationship Id="rId6" Type="http://schemas.openxmlformats.org/officeDocument/2006/relationships/hyperlink" Target="mailto:priya.na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267B-4ED0-42C7-85B2-17DCF6FB38E6}">
  <dimension ref="A1:S504"/>
  <sheetViews>
    <sheetView workbookViewId="0">
      <selection activeCell="H12" sqref="H12"/>
    </sheetView>
  </sheetViews>
  <sheetFormatPr defaultRowHeight="15" x14ac:dyDescent="0.25"/>
  <cols>
    <col min="1" max="1" width="11.42578125" style="3" customWidth="1"/>
    <col min="2" max="2" width="17.28515625" style="3" customWidth="1"/>
    <col min="3" max="3" width="12.85546875" style="3" bestFit="1" customWidth="1"/>
    <col min="4" max="4" width="18.28515625" style="3" customWidth="1"/>
    <col min="5" max="5" width="13" style="3" customWidth="1"/>
    <col min="6" max="6" width="16.7109375" style="3" customWidth="1"/>
    <col min="7" max="7" width="13.5703125" style="3" customWidth="1"/>
    <col min="8" max="8" width="11.85546875" style="3" customWidth="1"/>
    <col min="9" max="9" width="11.28515625" style="3" customWidth="1"/>
    <col min="10" max="10" width="14.5703125" style="3" customWidth="1"/>
    <col min="11" max="11" width="15.85546875" style="3" customWidth="1"/>
    <col min="12" max="12" width="18.28515625" style="3" customWidth="1"/>
    <col min="13" max="13" width="13.140625" style="3" customWidth="1"/>
    <col min="14" max="14" width="17.140625" style="3" customWidth="1"/>
    <col min="15" max="15" width="18.140625" style="3" customWidth="1"/>
  </cols>
  <sheetData>
    <row r="1" spans="1:16" s="7" customFormat="1" x14ac:dyDescent="0.25">
      <c r="A1" s="1" t="s">
        <v>14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6" x14ac:dyDescent="0.25">
      <c r="A2" s="3" t="s">
        <v>531</v>
      </c>
      <c r="B2" s="6">
        <v>45662</v>
      </c>
      <c r="C2" s="3" t="s">
        <v>218</v>
      </c>
      <c r="D2" s="3" t="s">
        <v>532</v>
      </c>
      <c r="E2" s="3" t="s">
        <v>119</v>
      </c>
      <c r="F2" s="3" t="s">
        <v>533</v>
      </c>
      <c r="G2" s="3" t="s">
        <v>36</v>
      </c>
      <c r="H2" s="3">
        <v>2</v>
      </c>
      <c r="I2" s="3">
        <v>25000</v>
      </c>
      <c r="J2" s="3">
        <v>50000</v>
      </c>
      <c r="K2" s="3" t="s">
        <v>51</v>
      </c>
      <c r="L2" s="3" t="str">
        <f>_xlfn.XLOOKUP(K2,Employees!$A$2:$A$51,Employees!$B$2:$B$51)</f>
        <v>Arjun Kumar</v>
      </c>
      <c r="M2" s="3" t="str">
        <f>_xlfn.XLOOKUP(K2,Employees!$A$2:$A$51,Employees!$E$2:$E$51)</f>
        <v>Chennai</v>
      </c>
      <c r="N2" s="3" t="str" cm="1">
        <f t="array" aca="1" ref="N2" ca="1">INDEX(Lookup!$C$2:$C$6,RANDBETWEEN(1,5))</f>
        <v>Net Banking</v>
      </c>
      <c r="O2" s="3" t="s">
        <v>46</v>
      </c>
    </row>
    <row r="3" spans="1:16" x14ac:dyDescent="0.25">
      <c r="A3" s="3" t="s">
        <v>534</v>
      </c>
      <c r="B3" s="6">
        <v>45663</v>
      </c>
      <c r="C3" s="3" t="s">
        <v>219</v>
      </c>
      <c r="D3" s="3" t="s">
        <v>535</v>
      </c>
      <c r="E3" s="3" t="s">
        <v>120</v>
      </c>
      <c r="F3" s="3" t="s">
        <v>536</v>
      </c>
      <c r="G3" s="3" t="s">
        <v>37</v>
      </c>
      <c r="H3" s="3">
        <v>3</v>
      </c>
      <c r="I3" s="3">
        <v>1500</v>
      </c>
      <c r="J3" s="3">
        <v>4500</v>
      </c>
      <c r="K3" s="3" t="s">
        <v>52</v>
      </c>
      <c r="L3" s="3" t="str">
        <f>_xlfn.XLOOKUP(K3,Employees!$A$2:$A$51,Employees!$B$2:$B$51)</f>
        <v>Priya Sharma</v>
      </c>
      <c r="M3" s="3" t="str">
        <f>_xlfn.XLOOKUP(K3,Employees!$A$2:$A$51,Employees!$E$2:$E$51)</f>
        <v>Bangalore</v>
      </c>
      <c r="N3" s="3" t="s">
        <v>42</v>
      </c>
      <c r="O3" s="3" t="s">
        <v>49</v>
      </c>
    </row>
    <row r="4" spans="1:16" x14ac:dyDescent="0.25">
      <c r="A4" s="3" t="s">
        <v>537</v>
      </c>
      <c r="B4" s="6">
        <v>45664</v>
      </c>
      <c r="C4" s="3" t="s">
        <v>220</v>
      </c>
      <c r="D4" s="3" t="s">
        <v>538</v>
      </c>
      <c r="E4" s="3" t="s">
        <v>121</v>
      </c>
      <c r="F4" s="3" t="s">
        <v>539</v>
      </c>
      <c r="G4" s="3" t="s">
        <v>38</v>
      </c>
      <c r="H4" s="3">
        <v>5</v>
      </c>
      <c r="I4" s="3">
        <v>500</v>
      </c>
      <c r="J4" s="3">
        <v>2500</v>
      </c>
      <c r="K4" s="3" t="s">
        <v>53</v>
      </c>
      <c r="L4" s="3" t="str">
        <f>_xlfn.XLOOKUP(K4,Employees!$A$2:$A$51,Employees!$B$2:$B$51)</f>
        <v>Rahul Verma</v>
      </c>
      <c r="M4" s="3" t="str">
        <f>_xlfn.XLOOKUP(K4,Employees!$A$2:$A$51,Employees!$E$2:$E$51)</f>
        <v>Hydrabed</v>
      </c>
      <c r="N4" s="3" t="s">
        <v>44</v>
      </c>
      <c r="O4" s="3" t="s">
        <v>48</v>
      </c>
    </row>
    <row r="5" spans="1:16" x14ac:dyDescent="0.25">
      <c r="A5" s="3" t="s">
        <v>540</v>
      </c>
      <c r="B5" s="6">
        <v>45665</v>
      </c>
      <c r="C5" s="3" t="s">
        <v>221</v>
      </c>
      <c r="D5" s="3" t="s">
        <v>541</v>
      </c>
      <c r="E5" s="3" t="s">
        <v>122</v>
      </c>
      <c r="F5" s="3" t="s">
        <v>542</v>
      </c>
      <c r="G5" s="3" t="s">
        <v>39</v>
      </c>
      <c r="H5" s="3">
        <v>1</v>
      </c>
      <c r="I5" s="3">
        <v>12000</v>
      </c>
      <c r="J5" s="3">
        <v>12000</v>
      </c>
      <c r="K5" s="3" t="s">
        <v>54</v>
      </c>
      <c r="L5" s="3" t="str">
        <f>_xlfn.XLOOKUP(K5,Employees!$A$2:$A$51,Employees!$B$2:$B$51)</f>
        <v>Sneha Reddy</v>
      </c>
      <c r="M5" s="3" t="str">
        <f>_xlfn.XLOOKUP(K5,Employees!$A$2:$A$51,Employees!$E$2:$E$51)</f>
        <v>Chennai</v>
      </c>
      <c r="N5" s="3" t="s">
        <v>45</v>
      </c>
      <c r="O5" s="3" t="s">
        <v>49</v>
      </c>
      <c r="P5" s="11"/>
    </row>
    <row r="6" spans="1:16" x14ac:dyDescent="0.25">
      <c r="A6" s="3" t="s">
        <v>543</v>
      </c>
      <c r="B6" s="6">
        <v>45666</v>
      </c>
      <c r="C6" s="3" t="s">
        <v>222</v>
      </c>
      <c r="D6" s="3" t="s">
        <v>544</v>
      </c>
      <c r="E6" s="3" t="s">
        <v>123</v>
      </c>
      <c r="F6" s="3" t="s">
        <v>545</v>
      </c>
      <c r="G6" s="3" t="s">
        <v>40</v>
      </c>
      <c r="H6" s="3">
        <v>4</v>
      </c>
      <c r="I6" s="3">
        <v>800</v>
      </c>
      <c r="J6" s="3">
        <v>3200</v>
      </c>
      <c r="K6" s="3" t="s">
        <v>55</v>
      </c>
      <c r="L6" s="3" t="str">
        <f>_xlfn.XLOOKUP(K6,Employees!$A$2:$A$51,Employees!$B$2:$B$51)</f>
        <v>Karthik Raj</v>
      </c>
      <c r="M6" s="3" t="str">
        <f>_xlfn.XLOOKUP(K6,Employees!$A$2:$A$51,Employees!$E$2:$E$51)</f>
        <v>Bangalore</v>
      </c>
      <c r="N6" s="3" t="s">
        <v>41</v>
      </c>
      <c r="O6" s="3" t="s">
        <v>47</v>
      </c>
      <c r="P6" s="11"/>
    </row>
    <row r="7" spans="1:16" x14ac:dyDescent="0.25">
      <c r="A7" s="3" t="s">
        <v>546</v>
      </c>
      <c r="B7" s="6">
        <v>45667</v>
      </c>
      <c r="C7" s="3" t="s">
        <v>223</v>
      </c>
      <c r="D7" s="3" t="s">
        <v>547</v>
      </c>
      <c r="E7" s="3" t="s">
        <v>124</v>
      </c>
      <c r="F7" s="3" t="s">
        <v>548</v>
      </c>
      <c r="G7" s="3" t="s">
        <v>36</v>
      </c>
      <c r="H7" s="3">
        <v>2</v>
      </c>
      <c r="I7" s="3">
        <v>18000</v>
      </c>
      <c r="J7" s="3">
        <v>36000</v>
      </c>
      <c r="K7" s="3" t="s">
        <v>56</v>
      </c>
      <c r="L7" s="3" t="str">
        <f>_xlfn.XLOOKUP(K7,Employees!$A$2:$A$51,Employees!$B$2:$B$51)</f>
        <v xml:space="preserve">Divya Nair </v>
      </c>
      <c r="M7" s="3" t="str">
        <f>_xlfn.XLOOKUP(K7,Employees!$A$2:$A$51,Employees!$E$2:$E$51)</f>
        <v>Hydrabed</v>
      </c>
      <c r="N7" s="3" t="s">
        <v>41</v>
      </c>
      <c r="O7" s="3" t="s">
        <v>49</v>
      </c>
      <c r="P7" s="11"/>
    </row>
    <row r="8" spans="1:16" x14ac:dyDescent="0.25">
      <c r="A8" s="3" t="s">
        <v>549</v>
      </c>
      <c r="B8" s="6">
        <v>45668</v>
      </c>
      <c r="C8" s="3" t="s">
        <v>224</v>
      </c>
      <c r="D8" s="3" t="s">
        <v>550</v>
      </c>
      <c r="E8" s="3" t="s">
        <v>125</v>
      </c>
      <c r="F8" s="3" t="s">
        <v>551</v>
      </c>
      <c r="G8" s="3" t="s">
        <v>37</v>
      </c>
      <c r="H8" s="3">
        <v>2</v>
      </c>
      <c r="I8" s="3">
        <v>2200</v>
      </c>
      <c r="J8" s="3">
        <v>4400</v>
      </c>
      <c r="K8" s="3" t="s">
        <v>57</v>
      </c>
      <c r="L8" s="3" t="str">
        <f>_xlfn.XLOOKUP(K8,Employees!$A$2:$A$51,Employees!$B$2:$B$51)</f>
        <v>Ajay Singh</v>
      </c>
      <c r="M8" s="3" t="str">
        <f>_xlfn.XLOOKUP(K8,Employees!$A$2:$A$51,Employees!$E$2:$E$51)</f>
        <v>Chennai</v>
      </c>
      <c r="N8" s="3" t="s">
        <v>43</v>
      </c>
      <c r="O8" s="3" t="s">
        <v>46</v>
      </c>
      <c r="P8" s="11"/>
    </row>
    <row r="9" spans="1:16" x14ac:dyDescent="0.25">
      <c r="A9" s="3" t="s">
        <v>552</v>
      </c>
      <c r="B9" s="6">
        <v>45669</v>
      </c>
      <c r="C9" s="3" t="s">
        <v>225</v>
      </c>
      <c r="D9" s="3" t="s">
        <v>553</v>
      </c>
      <c r="E9" s="3" t="s">
        <v>126</v>
      </c>
      <c r="F9" s="3" t="s">
        <v>554</v>
      </c>
      <c r="G9" s="3" t="s">
        <v>38</v>
      </c>
      <c r="H9" s="3">
        <v>6</v>
      </c>
      <c r="I9" s="3">
        <v>300</v>
      </c>
      <c r="J9" s="3">
        <v>1800</v>
      </c>
      <c r="K9" s="3" t="s">
        <v>58</v>
      </c>
      <c r="L9" s="3" t="str">
        <f>_xlfn.XLOOKUP(K9,Employees!$A$2:$A$51,Employees!$B$2:$B$51)</f>
        <v>Meera Joshi</v>
      </c>
      <c r="M9" s="3" t="str">
        <f>_xlfn.XLOOKUP(K9,Employees!$A$2:$A$51,Employees!$E$2:$E$51)</f>
        <v>Mumbai</v>
      </c>
      <c r="N9" s="3" t="s">
        <v>43</v>
      </c>
      <c r="O9" s="3" t="s">
        <v>47</v>
      </c>
      <c r="P9" s="11"/>
    </row>
    <row r="10" spans="1:16" x14ac:dyDescent="0.25">
      <c r="A10" s="3" t="s">
        <v>555</v>
      </c>
      <c r="B10" s="6">
        <v>45670</v>
      </c>
      <c r="C10" s="3" t="s">
        <v>226</v>
      </c>
      <c r="D10" s="3" t="s">
        <v>556</v>
      </c>
      <c r="E10" s="3" t="s">
        <v>127</v>
      </c>
      <c r="F10" s="3" t="s">
        <v>557</v>
      </c>
      <c r="G10" s="3" t="s">
        <v>39</v>
      </c>
      <c r="H10" s="3">
        <v>1</v>
      </c>
      <c r="I10" s="3">
        <v>15000</v>
      </c>
      <c r="J10" s="3">
        <v>15000</v>
      </c>
      <c r="K10" s="3" t="s">
        <v>59</v>
      </c>
      <c r="L10" s="3" t="str">
        <f>_xlfn.XLOOKUP(K10,Employees!$A$2:$A$51,Employees!$B$2:$B$51)</f>
        <v>Sanjay Kumar</v>
      </c>
      <c r="M10" s="3" t="str">
        <f>_xlfn.XLOOKUP(K10,Employees!$A$2:$A$51,Employees!$E$2:$E$51)</f>
        <v>Delhi</v>
      </c>
      <c r="N10" s="3" t="s">
        <v>42</v>
      </c>
      <c r="O10" s="3" t="s">
        <v>49</v>
      </c>
      <c r="P10" s="11"/>
    </row>
    <row r="11" spans="1:16" x14ac:dyDescent="0.25">
      <c r="A11" s="3" t="s">
        <v>558</v>
      </c>
      <c r="B11" s="6">
        <v>45671</v>
      </c>
      <c r="C11" s="3" t="s">
        <v>227</v>
      </c>
      <c r="D11" s="3" t="s">
        <v>559</v>
      </c>
      <c r="E11" s="3" t="s">
        <v>128</v>
      </c>
      <c r="F11" s="3" t="s">
        <v>560</v>
      </c>
      <c r="G11" s="3" t="s">
        <v>40</v>
      </c>
      <c r="H11" s="3">
        <v>3</v>
      </c>
      <c r="I11" s="3">
        <v>1200</v>
      </c>
      <c r="J11" s="3">
        <v>3600</v>
      </c>
      <c r="K11" s="3" t="s">
        <v>60</v>
      </c>
      <c r="L11" s="3" t="str">
        <f>_xlfn.XLOOKUP(K11,Employees!$A$2:$A$51,Employees!$B$2:$B$51)</f>
        <v>Pooja Patel</v>
      </c>
      <c r="M11" s="3" t="str">
        <f>_xlfn.XLOOKUP(K11,Employees!$A$2:$A$51,Employees!$E$2:$E$51)</f>
        <v>Bangalore</v>
      </c>
      <c r="N11" s="3" t="s">
        <v>43</v>
      </c>
      <c r="O11" s="3" t="s">
        <v>48</v>
      </c>
      <c r="P11" s="11"/>
    </row>
    <row r="12" spans="1:16" x14ac:dyDescent="0.25">
      <c r="A12" s="3" t="s">
        <v>561</v>
      </c>
      <c r="B12" s="6">
        <v>45672</v>
      </c>
      <c r="C12" s="3" t="s">
        <v>228</v>
      </c>
      <c r="D12" s="3" t="s">
        <v>562</v>
      </c>
      <c r="E12" s="3" t="s">
        <v>156</v>
      </c>
      <c r="F12" s="3" t="s">
        <v>563</v>
      </c>
      <c r="G12" s="3" t="s">
        <v>36</v>
      </c>
      <c r="H12" s="3">
        <v>1</v>
      </c>
      <c r="I12" s="3">
        <v>32000</v>
      </c>
      <c r="J12" s="3">
        <v>32000</v>
      </c>
      <c r="K12" s="3" t="s">
        <v>91</v>
      </c>
      <c r="L12" s="3" t="str">
        <f>_xlfn.XLOOKUP(K12,Employees!$A$2:$A$51,Employees!$B$2:$B$51)</f>
        <v>Nithya Krishnan</v>
      </c>
      <c r="M12" s="3" t="str">
        <f>_xlfn.XLOOKUP(K12,Employees!$A$2:$A$51,Employees!$E$2:$E$51)</f>
        <v>Chennai</v>
      </c>
      <c r="N12" s="3" t="s">
        <v>41</v>
      </c>
      <c r="O12" s="3" t="s">
        <v>46</v>
      </c>
      <c r="P12" s="11"/>
    </row>
    <row r="13" spans="1:16" x14ac:dyDescent="0.25">
      <c r="A13" s="3" t="s">
        <v>564</v>
      </c>
      <c r="B13" s="6">
        <v>45673</v>
      </c>
      <c r="C13" s="3" t="s">
        <v>229</v>
      </c>
      <c r="D13" s="3" t="s">
        <v>565</v>
      </c>
      <c r="E13" s="3" t="s">
        <v>157</v>
      </c>
      <c r="F13" s="3" t="s">
        <v>566</v>
      </c>
      <c r="G13" s="3" t="s">
        <v>37</v>
      </c>
      <c r="H13" s="3">
        <v>4</v>
      </c>
      <c r="I13" s="3">
        <v>1800</v>
      </c>
      <c r="J13" s="3">
        <v>7200</v>
      </c>
      <c r="K13" s="3" t="s">
        <v>92</v>
      </c>
      <c r="L13" s="3" t="str">
        <f>_xlfn.XLOOKUP(K13,Employees!$A$2:$A$51,Employees!$B$2:$B$51)</f>
        <v>Rohit Mehta</v>
      </c>
      <c r="M13" s="3" t="str">
        <f>_xlfn.XLOOKUP(K13,Employees!$A$2:$A$51,Employees!$E$2:$E$51)</f>
        <v>Hydrabed</v>
      </c>
      <c r="N13" s="3" t="s">
        <v>41</v>
      </c>
      <c r="O13" s="3" t="s">
        <v>46</v>
      </c>
      <c r="P13" s="11"/>
    </row>
    <row r="14" spans="1:16" x14ac:dyDescent="0.25">
      <c r="A14" s="3" t="s">
        <v>567</v>
      </c>
      <c r="B14" s="6">
        <v>45674</v>
      </c>
      <c r="C14" s="3" t="s">
        <v>230</v>
      </c>
      <c r="D14" s="3" t="s">
        <v>568</v>
      </c>
      <c r="E14" s="3" t="s">
        <v>158</v>
      </c>
      <c r="F14" s="3" t="s">
        <v>569</v>
      </c>
      <c r="G14" s="3" t="s">
        <v>38</v>
      </c>
      <c r="H14" s="3">
        <v>8</v>
      </c>
      <c r="I14" s="3">
        <v>250</v>
      </c>
      <c r="J14" s="3">
        <v>2000</v>
      </c>
      <c r="K14" s="3" t="s">
        <v>93</v>
      </c>
      <c r="L14" s="3" t="str">
        <f>_xlfn.XLOOKUP(K14,Employees!$A$2:$A$51,Employees!$B$2:$B$51)</f>
        <v>Aisha Khan</v>
      </c>
      <c r="M14" s="3" t="str">
        <f>_xlfn.XLOOKUP(K14,Employees!$A$2:$A$51,Employees!$E$2:$E$51)</f>
        <v>Delhi</v>
      </c>
      <c r="N14" s="3" t="s">
        <v>42</v>
      </c>
      <c r="O14" s="3" t="s">
        <v>47</v>
      </c>
      <c r="P14" s="11"/>
    </row>
    <row r="15" spans="1:16" x14ac:dyDescent="0.25">
      <c r="A15" s="3" t="s">
        <v>570</v>
      </c>
      <c r="B15" s="6">
        <v>45675</v>
      </c>
      <c r="C15" s="3" t="s">
        <v>231</v>
      </c>
      <c r="D15" s="3" t="s">
        <v>571</v>
      </c>
      <c r="E15" s="3" t="s">
        <v>159</v>
      </c>
      <c r="F15" s="3" t="s">
        <v>572</v>
      </c>
      <c r="G15" s="3" t="s">
        <v>39</v>
      </c>
      <c r="H15" s="3">
        <v>2</v>
      </c>
      <c r="I15" s="3">
        <v>9000</v>
      </c>
      <c r="J15" s="3">
        <v>18000</v>
      </c>
      <c r="K15" s="3" t="s">
        <v>94</v>
      </c>
      <c r="L15" s="3" t="str">
        <f>_xlfn.XLOOKUP(K15,Employees!$A$2:$A$51,Employees!$B$2:$B$51)</f>
        <v>Vikram Iyer</v>
      </c>
      <c r="M15" s="3" t="str">
        <f>_xlfn.XLOOKUP(K15,Employees!$A$2:$A$51,Employees!$E$2:$E$51)</f>
        <v>Bangalore</v>
      </c>
      <c r="N15" s="3" t="s">
        <v>45</v>
      </c>
      <c r="O15" s="3" t="s">
        <v>49</v>
      </c>
      <c r="P15" s="11"/>
    </row>
    <row r="16" spans="1:16" x14ac:dyDescent="0.25">
      <c r="A16" s="3" t="s">
        <v>573</v>
      </c>
      <c r="B16" s="6">
        <v>45676</v>
      </c>
      <c r="C16" s="3" t="s">
        <v>232</v>
      </c>
      <c r="D16" s="3" t="s">
        <v>574</v>
      </c>
      <c r="E16" s="3" t="s">
        <v>160</v>
      </c>
      <c r="F16" s="3" t="s">
        <v>575</v>
      </c>
      <c r="G16" s="3" t="s">
        <v>40</v>
      </c>
      <c r="H16" s="3">
        <v>5</v>
      </c>
      <c r="I16" s="3">
        <v>600</v>
      </c>
      <c r="J16" s="3">
        <v>3000</v>
      </c>
      <c r="K16" s="3" t="s">
        <v>101</v>
      </c>
      <c r="L16" s="3" t="str">
        <f>_xlfn.XLOOKUP(K16,Employees!$A$2:$A$51,Employees!$B$2:$B$51)</f>
        <v>Neha Gupta</v>
      </c>
      <c r="M16" s="3" t="str">
        <f>_xlfn.XLOOKUP(K16,Employees!$A$2:$A$51,Employees!$E$2:$E$51)</f>
        <v>Mumbai</v>
      </c>
      <c r="N16" s="3" t="s">
        <v>44</v>
      </c>
      <c r="O16" s="3" t="s">
        <v>48</v>
      </c>
      <c r="P16" s="11"/>
    </row>
    <row r="17" spans="1:16" x14ac:dyDescent="0.25">
      <c r="A17" s="3" t="s">
        <v>576</v>
      </c>
      <c r="B17" s="6">
        <v>45677</v>
      </c>
      <c r="C17" s="3" t="s">
        <v>233</v>
      </c>
      <c r="D17" s="3" t="s">
        <v>577</v>
      </c>
      <c r="E17" s="3" t="s">
        <v>161</v>
      </c>
      <c r="F17" s="3" t="s">
        <v>578</v>
      </c>
      <c r="G17" s="3" t="s">
        <v>36</v>
      </c>
      <c r="H17" s="3">
        <v>2</v>
      </c>
      <c r="I17" s="3">
        <v>21000</v>
      </c>
      <c r="J17" s="3">
        <v>42000</v>
      </c>
      <c r="K17" s="3" t="s">
        <v>105</v>
      </c>
      <c r="L17" s="3" t="str">
        <f>_xlfn.XLOOKUP(K17,Employees!$A$2:$A$51,Employees!$B$2:$B$51)</f>
        <v>Harish Ramanan</v>
      </c>
      <c r="M17" s="3" t="str">
        <f>_xlfn.XLOOKUP(K17,Employees!$A$2:$A$51,Employees!$E$2:$E$51)</f>
        <v>Chennai</v>
      </c>
      <c r="N17" s="3" t="s">
        <v>43</v>
      </c>
      <c r="O17" s="3" t="s">
        <v>49</v>
      </c>
      <c r="P17" s="11"/>
    </row>
    <row r="18" spans="1:16" x14ac:dyDescent="0.25">
      <c r="A18" s="3" t="s">
        <v>579</v>
      </c>
      <c r="B18" s="6">
        <v>45678</v>
      </c>
      <c r="C18" s="3" t="s">
        <v>234</v>
      </c>
      <c r="D18" s="3" t="s">
        <v>580</v>
      </c>
      <c r="E18" s="3" t="s">
        <v>162</v>
      </c>
      <c r="F18" s="3" t="s">
        <v>581</v>
      </c>
      <c r="G18" s="3" t="s">
        <v>37</v>
      </c>
      <c r="H18" s="3">
        <v>3</v>
      </c>
      <c r="I18" s="3">
        <v>2500</v>
      </c>
      <c r="J18" s="3">
        <v>7500</v>
      </c>
      <c r="K18" s="3" t="s">
        <v>106</v>
      </c>
      <c r="L18" s="3" t="str">
        <f>_xlfn.XLOOKUP(K18,Employees!$A$2:$A$51,Employees!$B$2:$B$51)</f>
        <v>Lakshmi Devi</v>
      </c>
      <c r="M18" s="3" t="str">
        <f>_xlfn.XLOOKUP(K18,Employees!$A$2:$A$51,Employees!$E$2:$E$51)</f>
        <v>Bangalore</v>
      </c>
      <c r="N18" s="3" t="s">
        <v>45</v>
      </c>
      <c r="O18" s="3" t="s">
        <v>47</v>
      </c>
      <c r="P18" s="11"/>
    </row>
    <row r="19" spans="1:16" x14ac:dyDescent="0.25">
      <c r="A19" s="3" t="s">
        <v>582</v>
      </c>
      <c r="B19" s="6">
        <v>45679</v>
      </c>
      <c r="C19" s="3" t="s">
        <v>235</v>
      </c>
      <c r="D19" s="3" t="s">
        <v>583</v>
      </c>
      <c r="E19" s="3" t="s">
        <v>163</v>
      </c>
      <c r="F19" s="3" t="s">
        <v>584</v>
      </c>
      <c r="G19" s="3" t="s">
        <v>38</v>
      </c>
      <c r="H19" s="3">
        <v>4</v>
      </c>
      <c r="I19" s="3">
        <v>700</v>
      </c>
      <c r="J19" s="3">
        <v>2800</v>
      </c>
      <c r="K19" s="3" t="s">
        <v>107</v>
      </c>
      <c r="L19" s="3" t="str">
        <f>_xlfn.XLOOKUP(K19,Employees!$A$2:$A$51,Employees!$B$2:$B$51)</f>
        <v>Mohammed Ali</v>
      </c>
      <c r="M19" s="3" t="str">
        <f>_xlfn.XLOOKUP(K19,Employees!$A$2:$A$51,Employees!$E$2:$E$51)</f>
        <v>Hydrabed</v>
      </c>
      <c r="N19" s="3" t="s">
        <v>45</v>
      </c>
      <c r="O19" s="3" t="s">
        <v>46</v>
      </c>
      <c r="P19" s="11"/>
    </row>
    <row r="20" spans="1:16" x14ac:dyDescent="0.25">
      <c r="A20" s="3" t="s">
        <v>585</v>
      </c>
      <c r="B20" s="6">
        <v>45680</v>
      </c>
      <c r="C20" s="3" t="s">
        <v>236</v>
      </c>
      <c r="D20" s="3" t="s">
        <v>586</v>
      </c>
      <c r="E20" s="3" t="s">
        <v>164</v>
      </c>
      <c r="F20" s="3" t="s">
        <v>587</v>
      </c>
      <c r="G20" s="3" t="s">
        <v>39</v>
      </c>
      <c r="H20" s="3">
        <v>1</v>
      </c>
      <c r="I20" s="3">
        <v>18000</v>
      </c>
      <c r="J20" s="3">
        <v>18000</v>
      </c>
      <c r="K20" s="3" t="s">
        <v>108</v>
      </c>
      <c r="L20" s="3" t="str">
        <f>_xlfn.XLOOKUP(K20,Employees!$A$2:$A$51,Employees!$B$2:$B$51)</f>
        <v>Kavya Srinivas</v>
      </c>
      <c r="M20" s="3" t="str">
        <f>_xlfn.XLOOKUP(K20,Employees!$A$2:$A$51,Employees!$E$2:$E$51)</f>
        <v>Delhi</v>
      </c>
      <c r="N20" s="3" t="s">
        <v>43</v>
      </c>
      <c r="O20" s="3" t="s">
        <v>49</v>
      </c>
      <c r="P20" s="11"/>
    </row>
    <row r="21" spans="1:16" x14ac:dyDescent="0.25">
      <c r="A21" s="3" t="s">
        <v>588</v>
      </c>
      <c r="B21" s="6">
        <v>45681</v>
      </c>
      <c r="C21" s="3" t="s">
        <v>237</v>
      </c>
      <c r="D21" s="3" t="s">
        <v>589</v>
      </c>
      <c r="E21" s="3" t="s">
        <v>165</v>
      </c>
      <c r="F21" s="3" t="s">
        <v>590</v>
      </c>
      <c r="G21" s="3" t="s">
        <v>40</v>
      </c>
      <c r="H21" s="3">
        <v>2</v>
      </c>
      <c r="I21" s="3">
        <v>900</v>
      </c>
      <c r="J21" s="3">
        <v>1800</v>
      </c>
      <c r="K21" s="3" t="s">
        <v>109</v>
      </c>
      <c r="L21" s="3" t="str">
        <f>_xlfn.XLOOKUP(K21,Employees!$A$2:$A$51,Employees!$B$2:$B$51)</f>
        <v>Rakesh Sharma</v>
      </c>
      <c r="M21" s="3" t="str">
        <f>_xlfn.XLOOKUP(K21,Employees!$A$2:$A$51,Employees!$E$2:$E$51)</f>
        <v>Mumbai</v>
      </c>
      <c r="N21" s="3" t="s">
        <v>43</v>
      </c>
      <c r="O21" s="3" t="s">
        <v>49</v>
      </c>
      <c r="P21" s="11"/>
    </row>
    <row r="22" spans="1:16" x14ac:dyDescent="0.25">
      <c r="A22" s="3" t="s">
        <v>591</v>
      </c>
      <c r="B22" s="6">
        <v>45682</v>
      </c>
      <c r="C22" s="3" t="s">
        <v>290</v>
      </c>
      <c r="D22" s="3" t="s">
        <v>592</v>
      </c>
      <c r="E22" s="3" t="s">
        <v>166</v>
      </c>
      <c r="F22" s="3" t="s">
        <v>593</v>
      </c>
      <c r="G22" s="3" t="s">
        <v>36</v>
      </c>
      <c r="H22" s="3">
        <v>3</v>
      </c>
      <c r="I22" s="3">
        <v>15000</v>
      </c>
      <c r="J22" s="3">
        <v>45000</v>
      </c>
      <c r="K22" s="3" t="s">
        <v>51</v>
      </c>
      <c r="L22" s="3" t="str">
        <f>_xlfn.XLOOKUP(K22,Employees!$A$2:$A$51,Employees!$B$2:$B$51)</f>
        <v>Arjun Kumar</v>
      </c>
      <c r="M22" s="3" t="str">
        <f>_xlfn.XLOOKUP(K22,Employees!$A$2:$A$51,Employees!$E$2:$E$51)</f>
        <v>Chennai</v>
      </c>
      <c r="N22" s="3" t="s">
        <v>42</v>
      </c>
      <c r="O22" s="3" t="s">
        <v>46</v>
      </c>
      <c r="P22" s="11"/>
    </row>
    <row r="23" spans="1:16" x14ac:dyDescent="0.25">
      <c r="A23" s="3" t="s">
        <v>594</v>
      </c>
      <c r="B23" s="6">
        <v>45683</v>
      </c>
      <c r="C23" s="3" t="s">
        <v>291</v>
      </c>
      <c r="D23" s="3" t="s">
        <v>595</v>
      </c>
      <c r="E23" s="3" t="s">
        <v>167</v>
      </c>
      <c r="F23" s="3" t="s">
        <v>596</v>
      </c>
      <c r="G23" s="3" t="s">
        <v>37</v>
      </c>
      <c r="H23" s="3">
        <v>2</v>
      </c>
      <c r="I23" s="3">
        <v>3000</v>
      </c>
      <c r="J23" s="3">
        <v>6000</v>
      </c>
      <c r="K23" s="3" t="s">
        <v>52</v>
      </c>
      <c r="L23" s="3" t="str">
        <f>_xlfn.XLOOKUP(K23,Employees!$A$2:$A$51,Employees!$B$2:$B$51)</f>
        <v>Priya Sharma</v>
      </c>
      <c r="M23" s="3" t="str">
        <f>_xlfn.XLOOKUP(K23,Employees!$A$2:$A$51,Employees!$E$2:$E$51)</f>
        <v>Bangalore</v>
      </c>
      <c r="N23" s="3" t="s">
        <v>43</v>
      </c>
      <c r="O23" s="3" t="s">
        <v>47</v>
      </c>
      <c r="P23" s="11"/>
    </row>
    <row r="24" spans="1:16" x14ac:dyDescent="0.25">
      <c r="A24" s="3" t="s">
        <v>597</v>
      </c>
      <c r="B24" s="6">
        <v>45684</v>
      </c>
      <c r="C24" s="3" t="s">
        <v>292</v>
      </c>
      <c r="D24" s="3" t="s">
        <v>598</v>
      </c>
      <c r="E24" s="3" t="s">
        <v>168</v>
      </c>
      <c r="F24" s="3" t="s">
        <v>599</v>
      </c>
      <c r="G24" s="3" t="s">
        <v>38</v>
      </c>
      <c r="H24" s="3">
        <v>7</v>
      </c>
      <c r="I24" s="3">
        <v>400</v>
      </c>
      <c r="J24" s="3">
        <v>2800</v>
      </c>
      <c r="K24" s="3" t="s">
        <v>53</v>
      </c>
      <c r="L24" s="3" t="str">
        <f>_xlfn.XLOOKUP(K24,Employees!$A$2:$A$51,Employees!$B$2:$B$51)</f>
        <v>Rahul Verma</v>
      </c>
      <c r="M24" s="3" t="str">
        <f>_xlfn.XLOOKUP(K24,Employees!$A$2:$A$51,Employees!$E$2:$E$51)</f>
        <v>Hydrabed</v>
      </c>
      <c r="N24" s="3" t="s">
        <v>45</v>
      </c>
      <c r="O24" s="3" t="s">
        <v>46</v>
      </c>
      <c r="P24" s="11"/>
    </row>
    <row r="25" spans="1:16" x14ac:dyDescent="0.25">
      <c r="A25" s="3" t="s">
        <v>600</v>
      </c>
      <c r="B25" s="6">
        <v>45685</v>
      </c>
      <c r="C25" s="3" t="s">
        <v>293</v>
      </c>
      <c r="D25" s="3" t="s">
        <v>601</v>
      </c>
      <c r="E25" s="3" t="s">
        <v>169</v>
      </c>
      <c r="F25" s="3" t="s">
        <v>602</v>
      </c>
      <c r="G25" s="3" t="s">
        <v>39</v>
      </c>
      <c r="H25" s="3">
        <v>1</v>
      </c>
      <c r="I25" s="3">
        <v>11000</v>
      </c>
      <c r="J25" s="3">
        <v>11000</v>
      </c>
      <c r="K25" s="3" t="s">
        <v>54</v>
      </c>
      <c r="L25" s="3" t="str">
        <f>_xlfn.XLOOKUP(K25,Employees!$A$2:$A$51,Employees!$B$2:$B$51)</f>
        <v>Sneha Reddy</v>
      </c>
      <c r="M25" s="3" t="str">
        <f>_xlfn.XLOOKUP(K25,Employees!$A$2:$A$51,Employees!$E$2:$E$51)</f>
        <v>Chennai</v>
      </c>
      <c r="N25" s="3" t="s">
        <v>44</v>
      </c>
      <c r="O25" s="3" t="s">
        <v>47</v>
      </c>
      <c r="P25" s="11"/>
    </row>
    <row r="26" spans="1:16" x14ac:dyDescent="0.25">
      <c r="A26" s="3" t="s">
        <v>603</v>
      </c>
      <c r="B26" s="6">
        <v>45686</v>
      </c>
      <c r="C26" s="3" t="s">
        <v>294</v>
      </c>
      <c r="D26" s="3" t="s">
        <v>604</v>
      </c>
      <c r="E26" s="3" t="s">
        <v>170</v>
      </c>
      <c r="F26" s="3" t="s">
        <v>605</v>
      </c>
      <c r="G26" s="3" t="s">
        <v>40</v>
      </c>
      <c r="H26" s="3">
        <v>4</v>
      </c>
      <c r="I26" s="3">
        <v>750</v>
      </c>
      <c r="J26" s="3">
        <v>3000</v>
      </c>
      <c r="K26" s="3" t="s">
        <v>55</v>
      </c>
      <c r="L26" s="3" t="str">
        <f>_xlfn.XLOOKUP(K26,Employees!$A$2:$A$51,Employees!$B$2:$B$51)</f>
        <v>Karthik Raj</v>
      </c>
      <c r="M26" s="3" t="str">
        <f>_xlfn.XLOOKUP(K26,Employees!$A$2:$A$51,Employees!$E$2:$E$51)</f>
        <v>Bangalore</v>
      </c>
      <c r="N26" s="3" t="s">
        <v>45</v>
      </c>
      <c r="O26" s="3" t="s">
        <v>49</v>
      </c>
      <c r="P26" s="11"/>
    </row>
    <row r="27" spans="1:16" x14ac:dyDescent="0.25">
      <c r="A27" s="3" t="s">
        <v>606</v>
      </c>
      <c r="B27" s="6">
        <v>45687</v>
      </c>
      <c r="C27" s="3" t="s">
        <v>295</v>
      </c>
      <c r="D27" s="3" t="s">
        <v>607</v>
      </c>
      <c r="E27" s="3" t="s">
        <v>171</v>
      </c>
      <c r="F27" s="3" t="s">
        <v>608</v>
      </c>
      <c r="G27" s="3" t="s">
        <v>36</v>
      </c>
      <c r="H27" s="3">
        <v>2</v>
      </c>
      <c r="I27" s="3">
        <v>28000</v>
      </c>
      <c r="J27" s="3">
        <v>56000</v>
      </c>
      <c r="K27" s="3" t="s">
        <v>56</v>
      </c>
      <c r="L27" s="3" t="str">
        <f>_xlfn.XLOOKUP(K27,Employees!$A$2:$A$51,Employees!$B$2:$B$51)</f>
        <v xml:space="preserve">Divya Nair </v>
      </c>
      <c r="M27" s="3" t="str">
        <f>_xlfn.XLOOKUP(K27,Employees!$A$2:$A$51,Employees!$E$2:$E$51)</f>
        <v>Hydrabed</v>
      </c>
      <c r="N27" s="3" t="s">
        <v>42</v>
      </c>
      <c r="O27" s="3" t="s">
        <v>47</v>
      </c>
      <c r="P27" s="11"/>
    </row>
    <row r="28" spans="1:16" x14ac:dyDescent="0.25">
      <c r="A28" s="3" t="s">
        <v>609</v>
      </c>
      <c r="B28" s="6">
        <v>45689</v>
      </c>
      <c r="C28" s="3" t="s">
        <v>296</v>
      </c>
      <c r="D28" s="3" t="s">
        <v>610</v>
      </c>
      <c r="E28" s="3" t="s">
        <v>172</v>
      </c>
      <c r="F28" s="3" t="s">
        <v>611</v>
      </c>
      <c r="G28" s="3" t="s">
        <v>37</v>
      </c>
      <c r="H28" s="3">
        <v>5</v>
      </c>
      <c r="I28" s="3">
        <v>1200</v>
      </c>
      <c r="J28" s="3">
        <v>6000</v>
      </c>
      <c r="K28" s="3" t="s">
        <v>57</v>
      </c>
      <c r="L28" s="3" t="str">
        <f>_xlfn.XLOOKUP(K28,Employees!$A$2:$A$51,Employees!$B$2:$B$51)</f>
        <v>Ajay Singh</v>
      </c>
      <c r="M28" s="3" t="str">
        <f>_xlfn.XLOOKUP(K28,Employees!$A$2:$A$51,Employees!$E$2:$E$51)</f>
        <v>Chennai</v>
      </c>
      <c r="N28" s="3" t="s">
        <v>43</v>
      </c>
      <c r="O28" s="3" t="s">
        <v>48</v>
      </c>
      <c r="P28" s="11"/>
    </row>
    <row r="29" spans="1:16" x14ac:dyDescent="0.25">
      <c r="A29" s="3" t="s">
        <v>612</v>
      </c>
      <c r="B29" s="6">
        <v>45690</v>
      </c>
      <c r="C29" s="3" t="s">
        <v>297</v>
      </c>
      <c r="D29" s="3" t="s">
        <v>613</v>
      </c>
      <c r="E29" s="3" t="s">
        <v>173</v>
      </c>
      <c r="F29" s="3" t="s">
        <v>614</v>
      </c>
      <c r="G29" s="3" t="s">
        <v>38</v>
      </c>
      <c r="H29" s="3">
        <v>3</v>
      </c>
      <c r="I29" s="3">
        <v>900</v>
      </c>
      <c r="J29" s="3">
        <v>2700</v>
      </c>
      <c r="K29" s="3" t="s">
        <v>58</v>
      </c>
      <c r="L29" s="3" t="str">
        <f>_xlfn.XLOOKUP(K29,Employees!$A$2:$A$51,Employees!$B$2:$B$51)</f>
        <v>Meera Joshi</v>
      </c>
      <c r="M29" s="3" t="str">
        <f>_xlfn.XLOOKUP(K29,Employees!$A$2:$A$51,Employees!$E$2:$E$51)</f>
        <v>Mumbai</v>
      </c>
      <c r="N29" s="3" t="s">
        <v>42</v>
      </c>
      <c r="O29" s="3" t="s">
        <v>49</v>
      </c>
      <c r="P29" s="11"/>
    </row>
    <row r="30" spans="1:16" x14ac:dyDescent="0.25">
      <c r="A30" s="3" t="s">
        <v>615</v>
      </c>
      <c r="B30" s="6">
        <v>45691</v>
      </c>
      <c r="C30" s="3" t="s">
        <v>298</v>
      </c>
      <c r="D30" s="3" t="s">
        <v>616</v>
      </c>
      <c r="E30" s="3" t="s">
        <v>174</v>
      </c>
      <c r="F30" s="3" t="s">
        <v>617</v>
      </c>
      <c r="G30" s="3" t="s">
        <v>39</v>
      </c>
      <c r="H30" s="3">
        <v>2</v>
      </c>
      <c r="I30" s="3">
        <v>13000</v>
      </c>
      <c r="J30" s="3">
        <v>26000</v>
      </c>
      <c r="K30" s="3" t="s">
        <v>59</v>
      </c>
      <c r="L30" s="3" t="str">
        <f>_xlfn.XLOOKUP(K30,Employees!$A$2:$A$51,Employees!$B$2:$B$51)</f>
        <v>Sanjay Kumar</v>
      </c>
      <c r="M30" s="3" t="str">
        <f>_xlfn.XLOOKUP(K30,Employees!$A$2:$A$51,Employees!$E$2:$E$51)</f>
        <v>Delhi</v>
      </c>
      <c r="N30" s="3" t="s">
        <v>44</v>
      </c>
      <c r="O30" s="3" t="s">
        <v>48</v>
      </c>
      <c r="P30" s="11"/>
    </row>
    <row r="31" spans="1:16" x14ac:dyDescent="0.25">
      <c r="A31" s="3" t="s">
        <v>618</v>
      </c>
      <c r="B31" s="6">
        <v>45692</v>
      </c>
      <c r="C31" s="3" t="s">
        <v>299</v>
      </c>
      <c r="D31" s="3" t="s">
        <v>619</v>
      </c>
      <c r="E31" s="3" t="s">
        <v>175</v>
      </c>
      <c r="F31" s="3" t="s">
        <v>620</v>
      </c>
      <c r="G31" s="3" t="s">
        <v>40</v>
      </c>
      <c r="H31" s="3">
        <v>6</v>
      </c>
      <c r="I31" s="3">
        <v>500</v>
      </c>
      <c r="J31" s="3">
        <v>3000</v>
      </c>
      <c r="K31" s="3" t="s">
        <v>60</v>
      </c>
      <c r="L31" s="3" t="str">
        <f>_xlfn.XLOOKUP(K31,Employees!$A$2:$A$51,Employees!$B$2:$B$51)</f>
        <v>Pooja Patel</v>
      </c>
      <c r="M31" s="3" t="str">
        <f>_xlfn.XLOOKUP(K31,Employees!$A$2:$A$51,Employees!$E$2:$E$51)</f>
        <v>Bangalore</v>
      </c>
      <c r="N31" s="3" t="s">
        <v>42</v>
      </c>
      <c r="O31" s="3" t="s">
        <v>48</v>
      </c>
      <c r="P31" s="11"/>
    </row>
    <row r="32" spans="1:16" x14ac:dyDescent="0.25">
      <c r="A32" s="3" t="s">
        <v>621</v>
      </c>
      <c r="B32" s="6">
        <v>45693</v>
      </c>
      <c r="C32" s="3" t="s">
        <v>300</v>
      </c>
      <c r="D32" s="3" t="s">
        <v>622</v>
      </c>
      <c r="E32" s="3" t="s">
        <v>119</v>
      </c>
      <c r="F32" s="3" t="s">
        <v>533</v>
      </c>
      <c r="G32" s="3" t="s">
        <v>36</v>
      </c>
      <c r="H32" s="3">
        <v>1</v>
      </c>
      <c r="I32" s="3">
        <v>25000</v>
      </c>
      <c r="J32" s="3">
        <v>25000</v>
      </c>
      <c r="K32" s="3" t="s">
        <v>91</v>
      </c>
      <c r="L32" s="3" t="str">
        <f>_xlfn.XLOOKUP(K32,Employees!$A$2:$A$51,Employees!$B$2:$B$51)</f>
        <v>Nithya Krishnan</v>
      </c>
      <c r="M32" s="3" t="str">
        <f>_xlfn.XLOOKUP(K32,Employees!$A$2:$A$51,Employees!$E$2:$E$51)</f>
        <v>Chennai</v>
      </c>
      <c r="N32" s="3" t="s">
        <v>45</v>
      </c>
      <c r="O32" s="3" t="s">
        <v>49</v>
      </c>
      <c r="P32" s="11"/>
    </row>
    <row r="33" spans="1:16" x14ac:dyDescent="0.25">
      <c r="A33" s="3" t="s">
        <v>623</v>
      </c>
      <c r="B33" s="6">
        <v>45694</v>
      </c>
      <c r="C33" s="3" t="s">
        <v>301</v>
      </c>
      <c r="D33" s="3" t="s">
        <v>624</v>
      </c>
      <c r="E33" s="3" t="s">
        <v>120</v>
      </c>
      <c r="F33" s="3" t="s">
        <v>536</v>
      </c>
      <c r="G33" s="3" t="s">
        <v>37</v>
      </c>
      <c r="H33" s="3">
        <v>2</v>
      </c>
      <c r="I33" s="3">
        <v>1500</v>
      </c>
      <c r="J33" s="3">
        <v>3000</v>
      </c>
      <c r="K33" s="3" t="s">
        <v>92</v>
      </c>
      <c r="L33" s="3" t="str">
        <f>_xlfn.XLOOKUP(K33,Employees!$A$2:$A$51,Employees!$B$2:$B$51)</f>
        <v>Rohit Mehta</v>
      </c>
      <c r="M33" s="3" t="str">
        <f>_xlfn.XLOOKUP(K33,Employees!$A$2:$A$51,Employees!$E$2:$E$51)</f>
        <v>Hydrabed</v>
      </c>
      <c r="N33" s="3" t="s">
        <v>45</v>
      </c>
      <c r="O33" s="3" t="s">
        <v>46</v>
      </c>
      <c r="P33" s="11"/>
    </row>
    <row r="34" spans="1:16" x14ac:dyDescent="0.25">
      <c r="A34" s="3" t="s">
        <v>625</v>
      </c>
      <c r="B34" s="6">
        <v>45695</v>
      </c>
      <c r="C34" s="3" t="s">
        <v>302</v>
      </c>
      <c r="D34" s="3" t="s">
        <v>626</v>
      </c>
      <c r="E34" s="3" t="s">
        <v>121</v>
      </c>
      <c r="F34" s="3" t="s">
        <v>539</v>
      </c>
      <c r="G34" s="3" t="s">
        <v>38</v>
      </c>
      <c r="H34" s="3">
        <v>10</v>
      </c>
      <c r="I34" s="3">
        <v>500</v>
      </c>
      <c r="J34" s="3">
        <v>5000</v>
      </c>
      <c r="K34" s="3" t="s">
        <v>93</v>
      </c>
      <c r="L34" s="3" t="str">
        <f>_xlfn.XLOOKUP(K34,Employees!$A$2:$A$51,Employees!$B$2:$B$51)</f>
        <v>Aisha Khan</v>
      </c>
      <c r="M34" s="3" t="str">
        <f>_xlfn.XLOOKUP(K34,Employees!$A$2:$A$51,Employees!$E$2:$E$51)</f>
        <v>Delhi</v>
      </c>
      <c r="N34" s="3" t="s">
        <v>41</v>
      </c>
      <c r="O34" s="3" t="s">
        <v>48</v>
      </c>
      <c r="P34" s="11"/>
    </row>
    <row r="35" spans="1:16" x14ac:dyDescent="0.25">
      <c r="A35" s="3" t="s">
        <v>627</v>
      </c>
      <c r="B35" s="6">
        <v>45696</v>
      </c>
      <c r="C35" s="3" t="s">
        <v>325</v>
      </c>
      <c r="D35" s="3" t="s">
        <v>628</v>
      </c>
      <c r="E35" s="3" t="s">
        <v>122</v>
      </c>
      <c r="F35" s="3" t="s">
        <v>542</v>
      </c>
      <c r="G35" s="3" t="s">
        <v>39</v>
      </c>
      <c r="H35" s="3">
        <v>1</v>
      </c>
      <c r="I35" s="3">
        <v>12000</v>
      </c>
      <c r="J35" s="3">
        <v>12000</v>
      </c>
      <c r="K35" s="3" t="s">
        <v>94</v>
      </c>
      <c r="L35" s="3" t="str">
        <f>_xlfn.XLOOKUP(K35,Employees!$A$2:$A$51,Employees!$B$2:$B$51)</f>
        <v>Vikram Iyer</v>
      </c>
      <c r="M35" s="3" t="str">
        <f>_xlfn.XLOOKUP(K35,Employees!$A$2:$A$51,Employees!$E$2:$E$51)</f>
        <v>Bangalore</v>
      </c>
      <c r="N35" s="3" t="s">
        <v>42</v>
      </c>
      <c r="O35" s="3" t="s">
        <v>46</v>
      </c>
      <c r="P35" s="11"/>
    </row>
    <row r="36" spans="1:16" x14ac:dyDescent="0.25">
      <c r="A36" s="3" t="s">
        <v>629</v>
      </c>
      <c r="B36" s="6">
        <v>45697</v>
      </c>
      <c r="C36" s="3" t="s">
        <v>326</v>
      </c>
      <c r="D36" s="3" t="s">
        <v>630</v>
      </c>
      <c r="E36" s="3" t="s">
        <v>123</v>
      </c>
      <c r="F36" s="3" t="s">
        <v>545</v>
      </c>
      <c r="G36" s="3" t="s">
        <v>40</v>
      </c>
      <c r="H36" s="3">
        <v>3</v>
      </c>
      <c r="I36" s="3">
        <v>800</v>
      </c>
      <c r="J36" s="3">
        <v>2400</v>
      </c>
      <c r="K36" s="3" t="s">
        <v>101</v>
      </c>
      <c r="L36" s="3" t="str">
        <f>_xlfn.XLOOKUP(K36,Employees!$A$2:$A$51,Employees!$B$2:$B$51)</f>
        <v>Neha Gupta</v>
      </c>
      <c r="M36" s="3" t="str">
        <f>_xlfn.XLOOKUP(K36,Employees!$A$2:$A$51,Employees!$E$2:$E$51)</f>
        <v>Mumbai</v>
      </c>
      <c r="N36" s="3" t="s">
        <v>44</v>
      </c>
      <c r="O36" s="3" t="s">
        <v>46</v>
      </c>
      <c r="P36" s="11"/>
    </row>
    <row r="37" spans="1:16" x14ac:dyDescent="0.25">
      <c r="A37" s="3" t="s">
        <v>631</v>
      </c>
      <c r="B37" s="6">
        <v>45698</v>
      </c>
      <c r="C37" s="3" t="s">
        <v>327</v>
      </c>
      <c r="D37" s="3" t="s">
        <v>632</v>
      </c>
      <c r="E37" s="3" t="s">
        <v>124</v>
      </c>
      <c r="F37" s="3" t="s">
        <v>548</v>
      </c>
      <c r="G37" s="3" t="s">
        <v>36</v>
      </c>
      <c r="H37" s="3">
        <v>2</v>
      </c>
      <c r="I37" s="3">
        <v>18000</v>
      </c>
      <c r="J37" s="3">
        <v>36000</v>
      </c>
      <c r="K37" s="3" t="s">
        <v>105</v>
      </c>
      <c r="L37" s="3" t="str">
        <f>_xlfn.XLOOKUP(K37,Employees!$A$2:$A$51,Employees!$B$2:$B$51)</f>
        <v>Harish Ramanan</v>
      </c>
      <c r="M37" s="3" t="str">
        <f>_xlfn.XLOOKUP(K37,Employees!$A$2:$A$51,Employees!$E$2:$E$51)</f>
        <v>Chennai</v>
      </c>
      <c r="N37" s="3" t="s">
        <v>45</v>
      </c>
      <c r="O37" s="3" t="s">
        <v>47</v>
      </c>
      <c r="P37" s="11"/>
    </row>
    <row r="38" spans="1:16" x14ac:dyDescent="0.25">
      <c r="A38" s="3" t="s">
        <v>633</v>
      </c>
      <c r="B38" s="6">
        <v>45699</v>
      </c>
      <c r="C38" s="3" t="s">
        <v>328</v>
      </c>
      <c r="D38" s="3" t="s">
        <v>634</v>
      </c>
      <c r="E38" s="3" t="s">
        <v>125</v>
      </c>
      <c r="F38" s="3" t="s">
        <v>551</v>
      </c>
      <c r="G38" s="3" t="s">
        <v>37</v>
      </c>
      <c r="H38" s="3">
        <v>4</v>
      </c>
      <c r="I38" s="3">
        <v>2200</v>
      </c>
      <c r="J38" s="3">
        <v>8800</v>
      </c>
      <c r="K38" s="3" t="s">
        <v>106</v>
      </c>
      <c r="L38" s="3" t="str">
        <f>_xlfn.XLOOKUP(K38,Employees!$A$2:$A$51,Employees!$B$2:$B$51)</f>
        <v>Lakshmi Devi</v>
      </c>
      <c r="M38" s="3" t="str">
        <f>_xlfn.XLOOKUP(K38,Employees!$A$2:$A$51,Employees!$E$2:$E$51)</f>
        <v>Bangalore</v>
      </c>
      <c r="N38" s="3" t="s">
        <v>42</v>
      </c>
      <c r="O38" s="3" t="s">
        <v>49</v>
      </c>
      <c r="P38" s="11"/>
    </row>
    <row r="39" spans="1:16" x14ac:dyDescent="0.25">
      <c r="A39" s="3" t="s">
        <v>635</v>
      </c>
      <c r="B39" s="6">
        <v>45700</v>
      </c>
      <c r="C39" s="3" t="s">
        <v>329</v>
      </c>
      <c r="D39" s="3" t="s">
        <v>636</v>
      </c>
      <c r="E39" s="3" t="s">
        <v>126</v>
      </c>
      <c r="F39" s="3" t="s">
        <v>554</v>
      </c>
      <c r="G39" s="3" t="s">
        <v>38</v>
      </c>
      <c r="H39" s="3">
        <v>5</v>
      </c>
      <c r="I39" s="3">
        <v>300</v>
      </c>
      <c r="J39" s="3">
        <v>1500</v>
      </c>
      <c r="K39" s="3" t="s">
        <v>107</v>
      </c>
      <c r="L39" s="3" t="str">
        <f>_xlfn.XLOOKUP(K39,Employees!$A$2:$A$51,Employees!$B$2:$B$51)</f>
        <v>Mohammed Ali</v>
      </c>
      <c r="M39" s="3" t="str">
        <f>_xlfn.XLOOKUP(K39,Employees!$A$2:$A$51,Employees!$E$2:$E$51)</f>
        <v>Hydrabed</v>
      </c>
      <c r="N39" s="3" t="s">
        <v>42</v>
      </c>
      <c r="O39" s="3" t="s">
        <v>46</v>
      </c>
      <c r="P39" s="11"/>
    </row>
    <row r="40" spans="1:16" x14ac:dyDescent="0.25">
      <c r="A40" s="3" t="s">
        <v>637</v>
      </c>
      <c r="B40" s="6">
        <v>45701</v>
      </c>
      <c r="C40" s="3" t="s">
        <v>330</v>
      </c>
      <c r="D40" s="3" t="s">
        <v>638</v>
      </c>
      <c r="E40" s="3" t="s">
        <v>127</v>
      </c>
      <c r="F40" s="3" t="s">
        <v>557</v>
      </c>
      <c r="G40" s="3" t="s">
        <v>39</v>
      </c>
      <c r="H40" s="3">
        <v>2</v>
      </c>
      <c r="I40" s="3">
        <v>15000</v>
      </c>
      <c r="J40" s="3">
        <v>30000</v>
      </c>
      <c r="K40" s="3" t="s">
        <v>108</v>
      </c>
      <c r="L40" s="3" t="str">
        <f>_xlfn.XLOOKUP(K40,Employees!$A$2:$A$51,Employees!$B$2:$B$51)</f>
        <v>Kavya Srinivas</v>
      </c>
      <c r="M40" s="3" t="str">
        <f>_xlfn.XLOOKUP(K40,Employees!$A$2:$A$51,Employees!$E$2:$E$51)</f>
        <v>Delhi</v>
      </c>
      <c r="N40" s="3" t="s">
        <v>41</v>
      </c>
      <c r="O40" s="3" t="s">
        <v>46</v>
      </c>
      <c r="P40" s="11"/>
    </row>
    <row r="41" spans="1:16" x14ac:dyDescent="0.25">
      <c r="A41" s="3" t="s">
        <v>639</v>
      </c>
      <c r="B41" s="6">
        <v>45702</v>
      </c>
      <c r="C41" s="3" t="s">
        <v>331</v>
      </c>
      <c r="D41" s="3" t="s">
        <v>640</v>
      </c>
      <c r="E41" s="3" t="s">
        <v>128</v>
      </c>
      <c r="F41" s="3" t="s">
        <v>560</v>
      </c>
      <c r="G41" s="3" t="s">
        <v>40</v>
      </c>
      <c r="H41" s="3">
        <v>3</v>
      </c>
      <c r="I41" s="3">
        <v>1200</v>
      </c>
      <c r="J41" s="3">
        <v>3600</v>
      </c>
      <c r="K41" s="3" t="s">
        <v>109</v>
      </c>
      <c r="L41" s="3" t="str">
        <f>_xlfn.XLOOKUP(K41,Employees!$A$2:$A$51,Employees!$B$2:$B$51)</f>
        <v>Rakesh Sharma</v>
      </c>
      <c r="M41" s="3" t="str">
        <f>_xlfn.XLOOKUP(K41,Employees!$A$2:$A$51,Employees!$E$2:$E$51)</f>
        <v>Mumbai</v>
      </c>
      <c r="N41" s="3" t="s">
        <v>45</v>
      </c>
      <c r="O41" s="3" t="s">
        <v>47</v>
      </c>
      <c r="P41" s="11"/>
    </row>
    <row r="42" spans="1:16" x14ac:dyDescent="0.25">
      <c r="A42" s="3" t="s">
        <v>641</v>
      </c>
      <c r="B42" s="6">
        <v>45703</v>
      </c>
      <c r="C42" s="3" t="s">
        <v>332</v>
      </c>
      <c r="D42" s="3" t="s">
        <v>642</v>
      </c>
      <c r="E42" s="3" t="s">
        <v>156</v>
      </c>
      <c r="F42" s="3" t="s">
        <v>563</v>
      </c>
      <c r="G42" s="3" t="s">
        <v>36</v>
      </c>
      <c r="H42" s="3">
        <v>2</v>
      </c>
      <c r="I42" s="3">
        <v>32000</v>
      </c>
      <c r="J42" s="3">
        <v>64000</v>
      </c>
      <c r="K42" s="3" t="s">
        <v>51</v>
      </c>
      <c r="L42" s="3" t="str">
        <f>_xlfn.XLOOKUP(K42,Employees!$A$2:$A$51,Employees!$B$2:$B$51)</f>
        <v>Arjun Kumar</v>
      </c>
      <c r="M42" s="3" t="str">
        <f>_xlfn.XLOOKUP(K42,Employees!$A$2:$A$51,Employees!$E$2:$E$51)</f>
        <v>Chennai</v>
      </c>
      <c r="N42" s="3" t="s">
        <v>44</v>
      </c>
      <c r="O42" s="3" t="s">
        <v>49</v>
      </c>
      <c r="P42" s="11"/>
    </row>
    <row r="43" spans="1:16" x14ac:dyDescent="0.25">
      <c r="A43" s="3" t="s">
        <v>643</v>
      </c>
      <c r="B43" s="6">
        <v>45704</v>
      </c>
      <c r="C43" s="3" t="s">
        <v>333</v>
      </c>
      <c r="D43" s="3" t="s">
        <v>644</v>
      </c>
      <c r="E43" s="3" t="s">
        <v>157</v>
      </c>
      <c r="F43" s="3" t="s">
        <v>566</v>
      </c>
      <c r="G43" s="3" t="s">
        <v>37</v>
      </c>
      <c r="H43" s="3">
        <v>1</v>
      </c>
      <c r="I43" s="3">
        <v>1800</v>
      </c>
      <c r="J43" s="3">
        <v>1800</v>
      </c>
      <c r="K43" s="3" t="s">
        <v>52</v>
      </c>
      <c r="L43" s="3" t="str">
        <f>_xlfn.XLOOKUP(K43,Employees!$A$2:$A$51,Employees!$B$2:$B$51)</f>
        <v>Priya Sharma</v>
      </c>
      <c r="M43" s="3" t="str">
        <f>_xlfn.XLOOKUP(K43,Employees!$A$2:$A$51,Employees!$E$2:$E$51)</f>
        <v>Bangalore</v>
      </c>
      <c r="N43" s="3" t="s">
        <v>41</v>
      </c>
      <c r="O43" s="3" t="s">
        <v>48</v>
      </c>
      <c r="P43" s="11"/>
    </row>
    <row r="44" spans="1:16" x14ac:dyDescent="0.25">
      <c r="A44" s="3" t="s">
        <v>645</v>
      </c>
      <c r="B44" s="6">
        <v>45705</v>
      </c>
      <c r="C44" s="3" t="s">
        <v>334</v>
      </c>
      <c r="D44" s="3" t="s">
        <v>646</v>
      </c>
      <c r="E44" s="3" t="s">
        <v>158</v>
      </c>
      <c r="F44" s="3" t="s">
        <v>569</v>
      </c>
      <c r="G44" s="3" t="s">
        <v>38</v>
      </c>
      <c r="H44" s="3">
        <v>6</v>
      </c>
      <c r="I44" s="3">
        <v>250</v>
      </c>
      <c r="J44" s="3">
        <v>1500</v>
      </c>
      <c r="K44" s="3" t="s">
        <v>53</v>
      </c>
      <c r="L44" s="3" t="str">
        <f>_xlfn.XLOOKUP(K44,Employees!$A$2:$A$51,Employees!$B$2:$B$51)</f>
        <v>Rahul Verma</v>
      </c>
      <c r="M44" s="3" t="str">
        <f>_xlfn.XLOOKUP(K44,Employees!$A$2:$A$51,Employees!$E$2:$E$51)</f>
        <v>Hydrabed</v>
      </c>
      <c r="N44" s="3" t="s">
        <v>41</v>
      </c>
      <c r="O44" s="3" t="s">
        <v>48</v>
      </c>
      <c r="P44" s="11"/>
    </row>
    <row r="45" spans="1:16" x14ac:dyDescent="0.25">
      <c r="A45" s="3" t="s">
        <v>647</v>
      </c>
      <c r="B45" s="6">
        <v>45706</v>
      </c>
      <c r="C45" s="3" t="s">
        <v>335</v>
      </c>
      <c r="D45" s="3" t="s">
        <v>648</v>
      </c>
      <c r="E45" s="3" t="s">
        <v>159</v>
      </c>
      <c r="F45" s="3" t="s">
        <v>572</v>
      </c>
      <c r="G45" s="3" t="s">
        <v>39</v>
      </c>
      <c r="H45" s="3">
        <v>2</v>
      </c>
      <c r="I45" s="3">
        <v>9000</v>
      </c>
      <c r="J45" s="3">
        <v>18000</v>
      </c>
      <c r="K45" s="3" t="s">
        <v>54</v>
      </c>
      <c r="L45" s="3" t="str">
        <f>_xlfn.XLOOKUP(K45,Employees!$A$2:$A$51,Employees!$B$2:$B$51)</f>
        <v>Sneha Reddy</v>
      </c>
      <c r="M45" s="3" t="str">
        <f>_xlfn.XLOOKUP(K45,Employees!$A$2:$A$51,Employees!$E$2:$E$51)</f>
        <v>Chennai</v>
      </c>
      <c r="N45" s="3" t="s">
        <v>44</v>
      </c>
      <c r="O45" s="3" t="s">
        <v>47</v>
      </c>
      <c r="P45" s="11"/>
    </row>
    <row r="46" spans="1:16" x14ac:dyDescent="0.25">
      <c r="A46" s="3" t="s">
        <v>649</v>
      </c>
      <c r="B46" s="6">
        <v>45707</v>
      </c>
      <c r="C46" s="3" t="s">
        <v>336</v>
      </c>
      <c r="D46" s="3" t="s">
        <v>650</v>
      </c>
      <c r="E46" s="3" t="s">
        <v>160</v>
      </c>
      <c r="F46" s="3" t="s">
        <v>575</v>
      </c>
      <c r="G46" s="3" t="s">
        <v>40</v>
      </c>
      <c r="H46" s="3">
        <v>4</v>
      </c>
      <c r="I46" s="3">
        <v>600</v>
      </c>
      <c r="J46" s="3">
        <v>2400</v>
      </c>
      <c r="K46" s="3" t="s">
        <v>55</v>
      </c>
      <c r="L46" s="3" t="str">
        <f>_xlfn.XLOOKUP(K46,Employees!$A$2:$A$51,Employees!$B$2:$B$51)</f>
        <v>Karthik Raj</v>
      </c>
      <c r="M46" s="3" t="str">
        <f>_xlfn.XLOOKUP(K46,Employees!$A$2:$A$51,Employees!$E$2:$E$51)</f>
        <v>Bangalore</v>
      </c>
      <c r="N46" s="3" t="s">
        <v>43</v>
      </c>
      <c r="O46" s="3" t="s">
        <v>47</v>
      </c>
      <c r="P46" s="11"/>
    </row>
    <row r="47" spans="1:16" x14ac:dyDescent="0.25">
      <c r="A47" s="3" t="s">
        <v>651</v>
      </c>
      <c r="B47" s="6">
        <v>45708</v>
      </c>
      <c r="C47" s="3" t="s">
        <v>337</v>
      </c>
      <c r="D47" s="3" t="s">
        <v>652</v>
      </c>
      <c r="E47" s="3" t="s">
        <v>161</v>
      </c>
      <c r="F47" s="3" t="s">
        <v>578</v>
      </c>
      <c r="G47" s="3" t="s">
        <v>36</v>
      </c>
      <c r="H47" s="3">
        <v>3</v>
      </c>
      <c r="I47" s="3">
        <v>21000</v>
      </c>
      <c r="J47" s="3">
        <v>63000</v>
      </c>
      <c r="K47" s="3" t="s">
        <v>56</v>
      </c>
      <c r="L47" s="3" t="str">
        <f>_xlfn.XLOOKUP(K47,Employees!$A$2:$A$51,Employees!$B$2:$B$51)</f>
        <v xml:space="preserve">Divya Nair </v>
      </c>
      <c r="M47" s="3" t="str">
        <f>_xlfn.XLOOKUP(K47,Employees!$A$2:$A$51,Employees!$E$2:$E$51)</f>
        <v>Hydrabed</v>
      </c>
      <c r="N47" s="3" t="s">
        <v>45</v>
      </c>
      <c r="O47" s="3" t="s">
        <v>46</v>
      </c>
      <c r="P47" s="11"/>
    </row>
    <row r="48" spans="1:16" x14ac:dyDescent="0.25">
      <c r="A48" s="3" t="s">
        <v>653</v>
      </c>
      <c r="B48" s="6">
        <v>45709</v>
      </c>
      <c r="C48" s="3" t="s">
        <v>338</v>
      </c>
      <c r="D48" s="3" t="s">
        <v>654</v>
      </c>
      <c r="E48" s="3" t="s">
        <v>162</v>
      </c>
      <c r="F48" s="3" t="s">
        <v>581</v>
      </c>
      <c r="G48" s="3" t="s">
        <v>37</v>
      </c>
      <c r="H48" s="3">
        <v>2</v>
      </c>
      <c r="I48" s="3">
        <v>2500</v>
      </c>
      <c r="J48" s="3">
        <v>5000</v>
      </c>
      <c r="K48" s="3" t="s">
        <v>57</v>
      </c>
      <c r="L48" s="3" t="str">
        <f>_xlfn.XLOOKUP(K48,Employees!$A$2:$A$51,Employees!$B$2:$B$51)</f>
        <v>Ajay Singh</v>
      </c>
      <c r="M48" s="3" t="str">
        <f>_xlfn.XLOOKUP(K48,Employees!$A$2:$A$51,Employees!$E$2:$E$51)</f>
        <v>Chennai</v>
      </c>
      <c r="N48" s="3" t="s">
        <v>43</v>
      </c>
      <c r="O48" s="3" t="s">
        <v>49</v>
      </c>
      <c r="P48" s="11"/>
    </row>
    <row r="49" spans="1:16" x14ac:dyDescent="0.25">
      <c r="A49" s="3" t="s">
        <v>655</v>
      </c>
      <c r="B49" s="6">
        <v>45710</v>
      </c>
      <c r="C49" s="3" t="s">
        <v>339</v>
      </c>
      <c r="D49" s="3" t="s">
        <v>656</v>
      </c>
      <c r="E49" s="3" t="s">
        <v>163</v>
      </c>
      <c r="F49" s="3" t="s">
        <v>584</v>
      </c>
      <c r="G49" s="3" t="s">
        <v>38</v>
      </c>
      <c r="H49" s="3">
        <v>8</v>
      </c>
      <c r="I49" s="3">
        <v>700</v>
      </c>
      <c r="J49" s="3">
        <v>5600</v>
      </c>
      <c r="K49" s="3" t="s">
        <v>58</v>
      </c>
      <c r="L49" s="3" t="str">
        <f>_xlfn.XLOOKUP(K49,Employees!$A$2:$A$51,Employees!$B$2:$B$51)</f>
        <v>Meera Joshi</v>
      </c>
      <c r="M49" s="3" t="str">
        <f>_xlfn.XLOOKUP(K49,Employees!$A$2:$A$51,Employees!$E$2:$E$51)</f>
        <v>Mumbai</v>
      </c>
      <c r="N49" s="3" t="s">
        <v>45</v>
      </c>
      <c r="O49" s="3" t="s">
        <v>47</v>
      </c>
      <c r="P49" s="11"/>
    </row>
    <row r="50" spans="1:16" x14ac:dyDescent="0.25">
      <c r="A50" s="3" t="s">
        <v>657</v>
      </c>
      <c r="B50" s="6">
        <v>45711</v>
      </c>
      <c r="C50" s="3" t="s">
        <v>340</v>
      </c>
      <c r="D50" s="3" t="s">
        <v>658</v>
      </c>
      <c r="E50" s="3" t="s">
        <v>164</v>
      </c>
      <c r="F50" s="3" t="s">
        <v>587</v>
      </c>
      <c r="G50" s="3" t="s">
        <v>39</v>
      </c>
      <c r="H50" s="3">
        <v>1</v>
      </c>
      <c r="I50" s="3">
        <v>18000</v>
      </c>
      <c r="J50" s="3">
        <v>18000</v>
      </c>
      <c r="K50" s="3" t="s">
        <v>59</v>
      </c>
      <c r="L50" s="3" t="str">
        <f>_xlfn.XLOOKUP(K50,Employees!$A$2:$A$51,Employees!$B$2:$B$51)</f>
        <v>Sanjay Kumar</v>
      </c>
      <c r="M50" s="3" t="str">
        <f>_xlfn.XLOOKUP(K50,Employees!$A$2:$A$51,Employees!$E$2:$E$51)</f>
        <v>Delhi</v>
      </c>
      <c r="N50" s="3" t="s">
        <v>42</v>
      </c>
      <c r="O50" s="3" t="s">
        <v>47</v>
      </c>
      <c r="P50" s="11"/>
    </row>
    <row r="51" spans="1:16" x14ac:dyDescent="0.25">
      <c r="A51" s="3" t="s">
        <v>659</v>
      </c>
      <c r="B51" s="6">
        <v>45712</v>
      </c>
      <c r="C51" s="3" t="s">
        <v>341</v>
      </c>
      <c r="D51" s="3" t="s">
        <v>660</v>
      </c>
      <c r="E51" s="3" t="s">
        <v>165</v>
      </c>
      <c r="F51" s="3" t="s">
        <v>590</v>
      </c>
      <c r="G51" s="3" t="s">
        <v>40</v>
      </c>
      <c r="H51" s="3">
        <v>5</v>
      </c>
      <c r="I51" s="3">
        <v>900</v>
      </c>
      <c r="J51" s="3">
        <v>4500</v>
      </c>
      <c r="K51" s="3" t="s">
        <v>60</v>
      </c>
      <c r="L51" s="3" t="str">
        <f>_xlfn.XLOOKUP(K51,Employees!$A$2:$A$51,Employees!$B$2:$B$51)</f>
        <v>Pooja Patel</v>
      </c>
      <c r="M51" s="3" t="str">
        <f>_xlfn.XLOOKUP(K51,Employees!$A$2:$A$51,Employees!$E$2:$E$51)</f>
        <v>Bangalore</v>
      </c>
      <c r="N51" s="3" t="s">
        <v>41</v>
      </c>
      <c r="O51" s="3" t="s">
        <v>48</v>
      </c>
      <c r="P51" s="11"/>
    </row>
    <row r="52" spans="1:16" x14ac:dyDescent="0.25">
      <c r="A52" s="3" t="s">
        <v>661</v>
      </c>
      <c r="B52" s="6">
        <v>45713</v>
      </c>
      <c r="C52" s="3" t="s">
        <v>382</v>
      </c>
      <c r="D52" s="3" t="s">
        <v>662</v>
      </c>
      <c r="E52" s="3" t="s">
        <v>166</v>
      </c>
      <c r="F52" s="3" t="s">
        <v>593</v>
      </c>
      <c r="G52" s="3" t="s">
        <v>36</v>
      </c>
      <c r="H52" s="3">
        <v>2</v>
      </c>
      <c r="I52" s="3">
        <v>15000</v>
      </c>
      <c r="J52" s="3">
        <v>30000</v>
      </c>
      <c r="K52" s="3" t="s">
        <v>91</v>
      </c>
      <c r="L52" s="3" t="str">
        <f>_xlfn.XLOOKUP(K52,Employees!$A$2:$A$51,Employees!$B$2:$B$51)</f>
        <v>Nithya Krishnan</v>
      </c>
      <c r="M52" s="3" t="str">
        <f>_xlfn.XLOOKUP(K52,Employees!$A$2:$A$51,Employees!$E$2:$E$51)</f>
        <v>Chennai</v>
      </c>
      <c r="N52" s="3" t="s">
        <v>43</v>
      </c>
      <c r="O52" s="3" t="s">
        <v>49</v>
      </c>
      <c r="P52" s="11"/>
    </row>
    <row r="53" spans="1:16" x14ac:dyDescent="0.25">
      <c r="A53" s="3" t="s">
        <v>663</v>
      </c>
      <c r="B53" s="6">
        <v>45714</v>
      </c>
      <c r="C53" s="3" t="s">
        <v>385</v>
      </c>
      <c r="D53" s="3" t="s">
        <v>664</v>
      </c>
      <c r="E53" s="3" t="s">
        <v>167</v>
      </c>
      <c r="F53" s="3" t="s">
        <v>596</v>
      </c>
      <c r="G53" s="3" t="s">
        <v>37</v>
      </c>
      <c r="H53" s="3">
        <v>3</v>
      </c>
      <c r="I53" s="3">
        <v>3000</v>
      </c>
      <c r="J53" s="3">
        <v>9000</v>
      </c>
      <c r="K53" s="3" t="s">
        <v>92</v>
      </c>
      <c r="L53" s="3" t="str">
        <f>_xlfn.XLOOKUP(K53,Employees!$A$2:$A$51,Employees!$B$2:$B$51)</f>
        <v>Rohit Mehta</v>
      </c>
      <c r="M53" s="3" t="str">
        <f>_xlfn.XLOOKUP(K53,Employees!$A$2:$A$51,Employees!$E$2:$E$51)</f>
        <v>Hydrabed</v>
      </c>
      <c r="N53" s="3" t="s">
        <v>41</v>
      </c>
      <c r="O53" s="3" t="s">
        <v>46</v>
      </c>
      <c r="P53" s="11"/>
    </row>
    <row r="54" spans="1:16" x14ac:dyDescent="0.25">
      <c r="A54" s="3" t="s">
        <v>665</v>
      </c>
      <c r="B54" s="6">
        <v>45715</v>
      </c>
      <c r="C54" s="3" t="s">
        <v>388</v>
      </c>
      <c r="D54" s="3" t="s">
        <v>666</v>
      </c>
      <c r="E54" s="3" t="s">
        <v>168</v>
      </c>
      <c r="F54" s="3" t="s">
        <v>599</v>
      </c>
      <c r="G54" s="3" t="s">
        <v>38</v>
      </c>
      <c r="H54" s="3">
        <v>5</v>
      </c>
      <c r="I54" s="3">
        <v>400</v>
      </c>
      <c r="J54" s="3">
        <v>2000</v>
      </c>
      <c r="K54" s="3" t="s">
        <v>93</v>
      </c>
      <c r="L54" s="3" t="str">
        <f>_xlfn.XLOOKUP(K54,Employees!$A$2:$A$51,Employees!$B$2:$B$51)</f>
        <v>Aisha Khan</v>
      </c>
      <c r="M54" s="3" t="str">
        <f>_xlfn.XLOOKUP(K54,Employees!$A$2:$A$51,Employees!$E$2:$E$51)</f>
        <v>Delhi</v>
      </c>
      <c r="N54" s="3" t="s">
        <v>43</v>
      </c>
      <c r="O54" s="3" t="s">
        <v>48</v>
      </c>
      <c r="P54" s="11"/>
    </row>
    <row r="55" spans="1:16" x14ac:dyDescent="0.25">
      <c r="A55" s="3" t="s">
        <v>667</v>
      </c>
      <c r="B55" s="6">
        <v>45716</v>
      </c>
      <c r="C55" s="3" t="s">
        <v>393</v>
      </c>
      <c r="D55" s="3" t="s">
        <v>668</v>
      </c>
      <c r="E55" s="3" t="s">
        <v>169</v>
      </c>
      <c r="F55" s="3" t="s">
        <v>602</v>
      </c>
      <c r="G55" s="3" t="s">
        <v>39</v>
      </c>
      <c r="H55" s="3">
        <v>1</v>
      </c>
      <c r="I55" s="3">
        <v>11000</v>
      </c>
      <c r="J55" s="3">
        <v>11000</v>
      </c>
      <c r="K55" s="3" t="s">
        <v>94</v>
      </c>
      <c r="L55" s="3" t="str">
        <f>_xlfn.XLOOKUP(K55,Employees!$A$2:$A$51,Employees!$B$2:$B$51)</f>
        <v>Vikram Iyer</v>
      </c>
      <c r="M55" s="3" t="str">
        <f>_xlfn.XLOOKUP(K55,Employees!$A$2:$A$51,Employees!$E$2:$E$51)</f>
        <v>Bangalore</v>
      </c>
      <c r="N55" s="3" t="s">
        <v>42</v>
      </c>
      <c r="O55" s="3" t="s">
        <v>46</v>
      </c>
      <c r="P55" s="11"/>
    </row>
    <row r="56" spans="1:16" x14ac:dyDescent="0.25">
      <c r="A56" s="3" t="s">
        <v>669</v>
      </c>
      <c r="B56" s="6">
        <v>45717</v>
      </c>
      <c r="C56" s="3" t="s">
        <v>396</v>
      </c>
      <c r="D56" s="3" t="s">
        <v>670</v>
      </c>
      <c r="E56" s="3" t="s">
        <v>170</v>
      </c>
      <c r="F56" s="3" t="s">
        <v>605</v>
      </c>
      <c r="G56" s="3" t="s">
        <v>40</v>
      </c>
      <c r="H56" s="3">
        <v>4</v>
      </c>
      <c r="I56" s="3">
        <v>750</v>
      </c>
      <c r="J56" s="3">
        <v>3000</v>
      </c>
      <c r="K56" s="3" t="s">
        <v>101</v>
      </c>
      <c r="L56" s="3" t="str">
        <f>_xlfn.XLOOKUP(K56,Employees!$A$2:$A$51,Employees!$B$2:$B$51)</f>
        <v>Neha Gupta</v>
      </c>
      <c r="M56" s="3" t="str">
        <f>_xlfn.XLOOKUP(K56,Employees!$A$2:$A$51,Employees!$E$2:$E$51)</f>
        <v>Mumbai</v>
      </c>
      <c r="N56" s="3" t="s">
        <v>43</v>
      </c>
      <c r="O56" s="3" t="s">
        <v>49</v>
      </c>
      <c r="P56" s="11"/>
    </row>
    <row r="57" spans="1:16" x14ac:dyDescent="0.25">
      <c r="A57" s="3" t="s">
        <v>671</v>
      </c>
      <c r="B57" s="6">
        <v>45718</v>
      </c>
      <c r="C57" s="3" t="s">
        <v>399</v>
      </c>
      <c r="D57" s="3" t="s">
        <v>672</v>
      </c>
      <c r="E57" s="3" t="s">
        <v>171</v>
      </c>
      <c r="F57" s="3" t="s">
        <v>608</v>
      </c>
      <c r="G57" s="3" t="s">
        <v>36</v>
      </c>
      <c r="H57" s="3">
        <v>2</v>
      </c>
      <c r="I57" s="3">
        <v>28000</v>
      </c>
      <c r="J57" s="3">
        <v>56000</v>
      </c>
      <c r="K57" s="3" t="s">
        <v>105</v>
      </c>
      <c r="L57" s="3" t="str">
        <f>_xlfn.XLOOKUP(K57,Employees!$A$2:$A$51,Employees!$B$2:$B$51)</f>
        <v>Harish Ramanan</v>
      </c>
      <c r="M57" s="3" t="str">
        <f>_xlfn.XLOOKUP(K57,Employees!$A$2:$A$51,Employees!$E$2:$E$51)</f>
        <v>Chennai</v>
      </c>
      <c r="N57" s="3" t="s">
        <v>44</v>
      </c>
      <c r="O57" s="3" t="s">
        <v>47</v>
      </c>
      <c r="P57" s="11"/>
    </row>
    <row r="58" spans="1:16" x14ac:dyDescent="0.25">
      <c r="A58" s="3" t="s">
        <v>673</v>
      </c>
      <c r="B58" s="6">
        <v>45719</v>
      </c>
      <c r="C58" s="3" t="s">
        <v>403</v>
      </c>
      <c r="D58" s="3" t="s">
        <v>674</v>
      </c>
      <c r="E58" s="3" t="s">
        <v>172</v>
      </c>
      <c r="F58" s="3" t="s">
        <v>611</v>
      </c>
      <c r="G58" s="3" t="s">
        <v>37</v>
      </c>
      <c r="H58" s="3">
        <v>5</v>
      </c>
      <c r="I58" s="3">
        <v>1200</v>
      </c>
      <c r="J58" s="3">
        <v>6000</v>
      </c>
      <c r="K58" s="3" t="s">
        <v>106</v>
      </c>
      <c r="L58" s="3" t="str">
        <f>_xlfn.XLOOKUP(K58,Employees!$A$2:$A$51,Employees!$B$2:$B$51)</f>
        <v>Lakshmi Devi</v>
      </c>
      <c r="M58" s="3" t="str">
        <f>_xlfn.XLOOKUP(K58,Employees!$A$2:$A$51,Employees!$E$2:$E$51)</f>
        <v>Bangalore</v>
      </c>
      <c r="N58" s="3" t="s">
        <v>42</v>
      </c>
      <c r="O58" s="3" t="s">
        <v>48</v>
      </c>
      <c r="P58" s="11"/>
    </row>
    <row r="59" spans="1:16" x14ac:dyDescent="0.25">
      <c r="A59" s="3" t="s">
        <v>675</v>
      </c>
      <c r="B59" s="6">
        <v>45720</v>
      </c>
      <c r="C59" s="3" t="s">
        <v>405</v>
      </c>
      <c r="D59" s="3" t="s">
        <v>676</v>
      </c>
      <c r="E59" s="3" t="s">
        <v>173</v>
      </c>
      <c r="F59" s="3" t="s">
        <v>614</v>
      </c>
      <c r="G59" s="3" t="s">
        <v>38</v>
      </c>
      <c r="H59" s="3">
        <v>3</v>
      </c>
      <c r="I59" s="3">
        <v>900</v>
      </c>
      <c r="J59" s="3">
        <v>2700</v>
      </c>
      <c r="K59" s="3" t="s">
        <v>107</v>
      </c>
      <c r="L59" s="3" t="str">
        <f>_xlfn.XLOOKUP(K59,Employees!$A$2:$A$51,Employees!$B$2:$B$51)</f>
        <v>Mohammed Ali</v>
      </c>
      <c r="M59" s="3" t="str">
        <f>_xlfn.XLOOKUP(K59,Employees!$A$2:$A$51,Employees!$E$2:$E$51)</f>
        <v>Hydrabed</v>
      </c>
      <c r="N59" s="3" t="s">
        <v>43</v>
      </c>
      <c r="O59" s="3" t="s">
        <v>48</v>
      </c>
      <c r="P59" s="11"/>
    </row>
    <row r="60" spans="1:16" x14ac:dyDescent="0.25">
      <c r="A60" s="3" t="s">
        <v>677</v>
      </c>
      <c r="B60" s="6">
        <v>45721</v>
      </c>
      <c r="C60" s="3" t="s">
        <v>408</v>
      </c>
      <c r="D60" s="3" t="s">
        <v>678</v>
      </c>
      <c r="E60" s="3" t="s">
        <v>174</v>
      </c>
      <c r="F60" s="3" t="s">
        <v>617</v>
      </c>
      <c r="G60" s="3" t="s">
        <v>39</v>
      </c>
      <c r="H60" s="3">
        <v>2</v>
      </c>
      <c r="I60" s="3">
        <v>13000</v>
      </c>
      <c r="J60" s="3">
        <v>26000</v>
      </c>
      <c r="K60" s="3" t="s">
        <v>108</v>
      </c>
      <c r="L60" s="3" t="str">
        <f>_xlfn.XLOOKUP(K60,Employees!$A$2:$A$51,Employees!$B$2:$B$51)</f>
        <v>Kavya Srinivas</v>
      </c>
      <c r="M60" s="3" t="str">
        <f>_xlfn.XLOOKUP(K60,Employees!$A$2:$A$51,Employees!$E$2:$E$51)</f>
        <v>Delhi</v>
      </c>
      <c r="N60" s="3" t="s">
        <v>45</v>
      </c>
      <c r="O60" s="3" t="s">
        <v>46</v>
      </c>
      <c r="P60" s="11"/>
    </row>
    <row r="61" spans="1:16" x14ac:dyDescent="0.25">
      <c r="A61" s="3" t="s">
        <v>679</v>
      </c>
      <c r="B61" s="6">
        <v>45722</v>
      </c>
      <c r="C61" s="3" t="s">
        <v>411</v>
      </c>
      <c r="D61" s="3" t="s">
        <v>680</v>
      </c>
      <c r="E61" s="3" t="s">
        <v>175</v>
      </c>
      <c r="F61" s="3" t="s">
        <v>620</v>
      </c>
      <c r="G61" s="3" t="s">
        <v>40</v>
      </c>
      <c r="H61" s="3">
        <v>6</v>
      </c>
      <c r="I61" s="3">
        <v>500</v>
      </c>
      <c r="J61" s="3">
        <v>3000</v>
      </c>
      <c r="K61" s="3" t="s">
        <v>109</v>
      </c>
      <c r="L61" s="3" t="str">
        <f>_xlfn.XLOOKUP(K61,Employees!$A$2:$A$51,Employees!$B$2:$B$51)</f>
        <v>Rakesh Sharma</v>
      </c>
      <c r="M61" s="3" t="str">
        <f>_xlfn.XLOOKUP(K61,Employees!$A$2:$A$51,Employees!$E$2:$E$51)</f>
        <v>Mumbai</v>
      </c>
      <c r="N61" s="3" t="s">
        <v>45</v>
      </c>
      <c r="O61" s="3" t="s">
        <v>46</v>
      </c>
      <c r="P61" s="11"/>
    </row>
    <row r="62" spans="1:16" x14ac:dyDescent="0.25">
      <c r="A62" s="3" t="s">
        <v>681</v>
      </c>
      <c r="B62" s="6">
        <v>45723</v>
      </c>
      <c r="C62" s="3" t="s">
        <v>414</v>
      </c>
      <c r="D62" s="3" t="s">
        <v>682</v>
      </c>
      <c r="E62" s="3" t="s">
        <v>119</v>
      </c>
      <c r="F62" s="3" t="s">
        <v>533</v>
      </c>
      <c r="G62" s="3" t="s">
        <v>36</v>
      </c>
      <c r="H62" s="3">
        <v>1</v>
      </c>
      <c r="I62" s="3">
        <v>25000</v>
      </c>
      <c r="J62" s="3">
        <v>25000</v>
      </c>
      <c r="K62" s="3" t="s">
        <v>51</v>
      </c>
      <c r="L62" s="3" t="str">
        <f>_xlfn.XLOOKUP(K62,Employees!$A$2:$A$51,Employees!$B$2:$B$51)</f>
        <v>Arjun Kumar</v>
      </c>
      <c r="M62" s="3" t="str">
        <f>_xlfn.XLOOKUP(K62,Employees!$A$2:$A$51,Employees!$E$2:$E$51)</f>
        <v>Chennai</v>
      </c>
      <c r="N62" s="3" t="s">
        <v>44</v>
      </c>
      <c r="O62" s="3" t="s">
        <v>47</v>
      </c>
      <c r="P62" s="11"/>
    </row>
    <row r="63" spans="1:16" x14ac:dyDescent="0.25">
      <c r="A63" s="3" t="s">
        <v>683</v>
      </c>
      <c r="B63" s="6">
        <v>45724</v>
      </c>
      <c r="C63" s="3" t="s">
        <v>417</v>
      </c>
      <c r="D63" s="3" t="s">
        <v>684</v>
      </c>
      <c r="E63" s="3" t="s">
        <v>120</v>
      </c>
      <c r="F63" s="3" t="s">
        <v>536</v>
      </c>
      <c r="G63" s="3" t="s">
        <v>37</v>
      </c>
      <c r="H63" s="3">
        <v>2</v>
      </c>
      <c r="I63" s="3">
        <v>1500</v>
      </c>
      <c r="J63" s="3">
        <v>3000</v>
      </c>
      <c r="K63" s="3" t="s">
        <v>52</v>
      </c>
      <c r="L63" s="3" t="str">
        <f>_xlfn.XLOOKUP(K63,Employees!$A$2:$A$51,Employees!$B$2:$B$51)</f>
        <v>Priya Sharma</v>
      </c>
      <c r="M63" s="3" t="str">
        <f>_xlfn.XLOOKUP(K63,Employees!$A$2:$A$51,Employees!$E$2:$E$51)</f>
        <v>Bangalore</v>
      </c>
      <c r="N63" s="3" t="s">
        <v>42</v>
      </c>
      <c r="O63" s="3" t="s">
        <v>49</v>
      </c>
      <c r="P63" s="11"/>
    </row>
    <row r="64" spans="1:16" x14ac:dyDescent="0.25">
      <c r="A64" s="3" t="s">
        <v>685</v>
      </c>
      <c r="B64" s="6">
        <v>45725</v>
      </c>
      <c r="C64" s="3" t="s">
        <v>420</v>
      </c>
      <c r="D64" s="3" t="s">
        <v>686</v>
      </c>
      <c r="E64" s="3" t="s">
        <v>121</v>
      </c>
      <c r="F64" s="3" t="s">
        <v>539</v>
      </c>
      <c r="G64" s="3" t="s">
        <v>38</v>
      </c>
      <c r="H64" s="3">
        <v>10</v>
      </c>
      <c r="I64" s="3">
        <v>500</v>
      </c>
      <c r="J64" s="3">
        <v>5000</v>
      </c>
      <c r="K64" s="3" t="s">
        <v>53</v>
      </c>
      <c r="L64" s="3" t="str">
        <f>_xlfn.XLOOKUP(K64,Employees!$A$2:$A$51,Employees!$B$2:$B$51)</f>
        <v>Rahul Verma</v>
      </c>
      <c r="M64" s="3" t="str">
        <f>_xlfn.XLOOKUP(K64,Employees!$A$2:$A$51,Employees!$E$2:$E$51)</f>
        <v>Hydrabed</v>
      </c>
      <c r="N64" s="3" t="s">
        <v>42</v>
      </c>
      <c r="O64" s="3" t="s">
        <v>47</v>
      </c>
      <c r="P64" s="11"/>
    </row>
    <row r="65" spans="1:16" x14ac:dyDescent="0.25">
      <c r="A65" s="3" t="s">
        <v>687</v>
      </c>
      <c r="B65" s="6">
        <v>45726</v>
      </c>
      <c r="C65" s="3" t="s">
        <v>423</v>
      </c>
      <c r="D65" s="3" t="s">
        <v>688</v>
      </c>
      <c r="E65" s="3" t="s">
        <v>122</v>
      </c>
      <c r="F65" s="3" t="s">
        <v>542</v>
      </c>
      <c r="G65" s="3" t="s">
        <v>39</v>
      </c>
      <c r="H65" s="3">
        <v>1</v>
      </c>
      <c r="I65" s="3">
        <v>12000</v>
      </c>
      <c r="J65" s="3">
        <v>12000</v>
      </c>
      <c r="K65" s="3" t="s">
        <v>54</v>
      </c>
      <c r="L65" s="3" t="str">
        <f>_xlfn.XLOOKUP(K65,Employees!$A$2:$A$51,Employees!$B$2:$B$51)</f>
        <v>Sneha Reddy</v>
      </c>
      <c r="M65" s="3" t="str">
        <f>_xlfn.XLOOKUP(K65,Employees!$A$2:$A$51,Employees!$E$2:$E$51)</f>
        <v>Chennai</v>
      </c>
      <c r="N65" s="3" t="s">
        <v>41</v>
      </c>
      <c r="O65" s="3" t="s">
        <v>47</v>
      </c>
      <c r="P65" s="11"/>
    </row>
    <row r="66" spans="1:16" x14ac:dyDescent="0.25">
      <c r="A66" s="3" t="s">
        <v>689</v>
      </c>
      <c r="B66" s="6">
        <v>45727</v>
      </c>
      <c r="C66" s="3" t="s">
        <v>426</v>
      </c>
      <c r="D66" s="3" t="s">
        <v>690</v>
      </c>
      <c r="E66" s="3" t="s">
        <v>123</v>
      </c>
      <c r="F66" s="3" t="s">
        <v>545</v>
      </c>
      <c r="G66" s="3" t="s">
        <v>40</v>
      </c>
      <c r="H66" s="3">
        <v>3</v>
      </c>
      <c r="I66" s="3">
        <v>800</v>
      </c>
      <c r="J66" s="3">
        <v>2400</v>
      </c>
      <c r="K66" s="3" t="s">
        <v>55</v>
      </c>
      <c r="L66" s="3" t="str">
        <f>_xlfn.XLOOKUP(K66,Employees!$A$2:$A$51,Employees!$B$2:$B$51)</f>
        <v>Karthik Raj</v>
      </c>
      <c r="M66" s="3" t="str">
        <f>_xlfn.XLOOKUP(K66,Employees!$A$2:$A$51,Employees!$E$2:$E$51)</f>
        <v>Bangalore</v>
      </c>
      <c r="N66" s="3" t="s">
        <v>44</v>
      </c>
      <c r="O66" s="3" t="s">
        <v>48</v>
      </c>
      <c r="P66" s="11"/>
    </row>
    <row r="67" spans="1:16" x14ac:dyDescent="0.25">
      <c r="A67" s="3" t="s">
        <v>691</v>
      </c>
      <c r="B67" s="6">
        <v>45728</v>
      </c>
      <c r="C67" s="3" t="s">
        <v>429</v>
      </c>
      <c r="D67" s="3" t="s">
        <v>692</v>
      </c>
      <c r="E67" s="3" t="s">
        <v>124</v>
      </c>
      <c r="F67" s="3" t="s">
        <v>548</v>
      </c>
      <c r="G67" s="3" t="s">
        <v>36</v>
      </c>
      <c r="H67" s="3">
        <v>2</v>
      </c>
      <c r="I67" s="3">
        <v>18000</v>
      </c>
      <c r="J67" s="3">
        <v>36000</v>
      </c>
      <c r="K67" s="3" t="s">
        <v>56</v>
      </c>
      <c r="L67" s="3" t="str">
        <f>_xlfn.XLOOKUP(K67,Employees!$A$2:$A$51,Employees!$B$2:$B$51)</f>
        <v xml:space="preserve">Divya Nair </v>
      </c>
      <c r="M67" s="3" t="str">
        <f>_xlfn.XLOOKUP(K67,Employees!$A$2:$A$51,Employees!$E$2:$E$51)</f>
        <v>Hydrabed</v>
      </c>
      <c r="N67" s="3" t="s">
        <v>41</v>
      </c>
      <c r="O67" s="3" t="s">
        <v>47</v>
      </c>
      <c r="P67" s="11"/>
    </row>
    <row r="68" spans="1:16" x14ac:dyDescent="0.25">
      <c r="A68" s="3" t="s">
        <v>693</v>
      </c>
      <c r="B68" s="6">
        <v>45729</v>
      </c>
      <c r="C68" s="3" t="s">
        <v>432</v>
      </c>
      <c r="D68" s="3" t="s">
        <v>694</v>
      </c>
      <c r="E68" s="3" t="s">
        <v>125</v>
      </c>
      <c r="F68" s="3" t="s">
        <v>551</v>
      </c>
      <c r="G68" s="3" t="s">
        <v>37</v>
      </c>
      <c r="H68" s="3">
        <v>4</v>
      </c>
      <c r="I68" s="3">
        <v>2200</v>
      </c>
      <c r="J68" s="3">
        <v>8800</v>
      </c>
      <c r="K68" s="3" t="s">
        <v>57</v>
      </c>
      <c r="L68" s="3" t="str">
        <f>_xlfn.XLOOKUP(K68,Employees!$A$2:$A$51,Employees!$B$2:$B$51)</f>
        <v>Ajay Singh</v>
      </c>
      <c r="M68" s="3" t="str">
        <f>_xlfn.XLOOKUP(K68,Employees!$A$2:$A$51,Employees!$E$2:$E$51)</f>
        <v>Chennai</v>
      </c>
      <c r="N68" s="3" t="s">
        <v>45</v>
      </c>
      <c r="O68" s="3" t="s">
        <v>48</v>
      </c>
      <c r="P68" s="11"/>
    </row>
    <row r="69" spans="1:16" x14ac:dyDescent="0.25">
      <c r="A69" s="3" t="s">
        <v>695</v>
      </c>
      <c r="B69" s="6">
        <v>45730</v>
      </c>
      <c r="C69" s="3" t="s">
        <v>435</v>
      </c>
      <c r="D69" s="3" t="s">
        <v>696</v>
      </c>
      <c r="E69" s="3" t="s">
        <v>126</v>
      </c>
      <c r="F69" s="3" t="s">
        <v>554</v>
      </c>
      <c r="G69" s="3" t="s">
        <v>38</v>
      </c>
      <c r="H69" s="3">
        <v>5</v>
      </c>
      <c r="I69" s="3">
        <v>300</v>
      </c>
      <c r="J69" s="3">
        <v>1500</v>
      </c>
      <c r="K69" s="3" t="s">
        <v>58</v>
      </c>
      <c r="L69" s="3" t="str">
        <f>_xlfn.XLOOKUP(K69,Employees!$A$2:$A$51,Employees!$B$2:$B$51)</f>
        <v>Meera Joshi</v>
      </c>
      <c r="M69" s="3" t="str">
        <f>_xlfn.XLOOKUP(K69,Employees!$A$2:$A$51,Employees!$E$2:$E$51)</f>
        <v>Mumbai</v>
      </c>
      <c r="N69" s="3" t="s">
        <v>43</v>
      </c>
      <c r="O69" s="3" t="s">
        <v>49</v>
      </c>
      <c r="P69" s="11"/>
    </row>
    <row r="70" spans="1:16" x14ac:dyDescent="0.25">
      <c r="A70" s="3" t="s">
        <v>697</v>
      </c>
      <c r="B70" s="6">
        <v>45731</v>
      </c>
      <c r="C70" s="3" t="s">
        <v>438</v>
      </c>
      <c r="D70" s="3" t="s">
        <v>698</v>
      </c>
      <c r="E70" s="3" t="s">
        <v>127</v>
      </c>
      <c r="F70" s="3" t="s">
        <v>557</v>
      </c>
      <c r="G70" s="3" t="s">
        <v>39</v>
      </c>
      <c r="H70" s="3">
        <v>2</v>
      </c>
      <c r="I70" s="3">
        <v>15000</v>
      </c>
      <c r="J70" s="3">
        <v>30000</v>
      </c>
      <c r="K70" s="3" t="s">
        <v>59</v>
      </c>
      <c r="L70" s="3" t="str">
        <f>_xlfn.XLOOKUP(K70,Employees!$A$2:$A$51,Employees!$B$2:$B$51)</f>
        <v>Sanjay Kumar</v>
      </c>
      <c r="M70" s="3" t="str">
        <f>_xlfn.XLOOKUP(K70,Employees!$A$2:$A$51,Employees!$E$2:$E$51)</f>
        <v>Delhi</v>
      </c>
      <c r="N70" s="3" t="s">
        <v>41</v>
      </c>
      <c r="O70" s="3" t="s">
        <v>49</v>
      </c>
      <c r="P70" s="11"/>
    </row>
    <row r="71" spans="1:16" x14ac:dyDescent="0.25">
      <c r="A71" s="3" t="s">
        <v>699</v>
      </c>
      <c r="B71" s="6">
        <v>45732</v>
      </c>
      <c r="C71" s="3" t="s">
        <v>440</v>
      </c>
      <c r="D71" s="3" t="s">
        <v>700</v>
      </c>
      <c r="E71" s="3" t="s">
        <v>128</v>
      </c>
      <c r="F71" s="3" t="s">
        <v>560</v>
      </c>
      <c r="G71" s="3" t="s">
        <v>40</v>
      </c>
      <c r="H71" s="3">
        <v>3</v>
      </c>
      <c r="I71" s="3">
        <v>1200</v>
      </c>
      <c r="J71" s="3">
        <v>3600</v>
      </c>
      <c r="K71" s="3" t="s">
        <v>60</v>
      </c>
      <c r="L71" s="3" t="str">
        <f>_xlfn.XLOOKUP(K71,Employees!$A$2:$A$51,Employees!$B$2:$B$51)</f>
        <v>Pooja Patel</v>
      </c>
      <c r="M71" s="3" t="str">
        <f>_xlfn.XLOOKUP(K71,Employees!$A$2:$A$51,Employees!$E$2:$E$51)</f>
        <v>Bangalore</v>
      </c>
      <c r="N71" s="3" t="s">
        <v>45</v>
      </c>
      <c r="O71" s="3" t="s">
        <v>49</v>
      </c>
      <c r="P71" s="11"/>
    </row>
    <row r="72" spans="1:16" x14ac:dyDescent="0.25">
      <c r="A72" s="3" t="s">
        <v>701</v>
      </c>
      <c r="B72" s="6">
        <v>45733</v>
      </c>
      <c r="C72" s="3" t="s">
        <v>443</v>
      </c>
      <c r="D72" s="3" t="s">
        <v>702</v>
      </c>
      <c r="E72" s="3" t="s">
        <v>156</v>
      </c>
      <c r="F72" s="3" t="s">
        <v>563</v>
      </c>
      <c r="G72" s="3" t="s">
        <v>36</v>
      </c>
      <c r="H72" s="3">
        <v>2</v>
      </c>
      <c r="I72" s="3">
        <v>32000</v>
      </c>
      <c r="J72" s="3">
        <v>64000</v>
      </c>
      <c r="K72" s="3" t="s">
        <v>91</v>
      </c>
      <c r="L72" s="3" t="str">
        <f>_xlfn.XLOOKUP(K72,Employees!$A$2:$A$51,Employees!$B$2:$B$51)</f>
        <v>Nithya Krishnan</v>
      </c>
      <c r="M72" s="3" t="str">
        <f>_xlfn.XLOOKUP(K72,Employees!$A$2:$A$51,Employees!$E$2:$E$51)</f>
        <v>Chennai</v>
      </c>
      <c r="N72" s="3" t="s">
        <v>41</v>
      </c>
      <c r="O72" s="3" t="s">
        <v>49</v>
      </c>
      <c r="P72" s="11"/>
    </row>
    <row r="73" spans="1:16" x14ac:dyDescent="0.25">
      <c r="A73" s="3" t="s">
        <v>703</v>
      </c>
      <c r="B73" s="6">
        <v>45734</v>
      </c>
      <c r="C73" s="3" t="s">
        <v>446</v>
      </c>
      <c r="D73" s="3" t="s">
        <v>704</v>
      </c>
      <c r="E73" s="3" t="s">
        <v>157</v>
      </c>
      <c r="F73" s="3" t="s">
        <v>566</v>
      </c>
      <c r="G73" s="3" t="s">
        <v>37</v>
      </c>
      <c r="H73" s="3">
        <v>1</v>
      </c>
      <c r="I73" s="3">
        <v>1800</v>
      </c>
      <c r="J73" s="3">
        <v>1800</v>
      </c>
      <c r="K73" s="3" t="s">
        <v>92</v>
      </c>
      <c r="L73" s="3" t="str">
        <f>_xlfn.XLOOKUP(K73,Employees!$A$2:$A$51,Employees!$B$2:$B$51)</f>
        <v>Rohit Mehta</v>
      </c>
      <c r="M73" s="3" t="str">
        <f>_xlfn.XLOOKUP(K73,Employees!$A$2:$A$51,Employees!$E$2:$E$51)</f>
        <v>Hydrabed</v>
      </c>
      <c r="N73" s="3" t="s">
        <v>42</v>
      </c>
      <c r="O73" s="3" t="s">
        <v>47</v>
      </c>
      <c r="P73" s="11"/>
    </row>
    <row r="74" spans="1:16" x14ac:dyDescent="0.25">
      <c r="A74" s="3" t="s">
        <v>705</v>
      </c>
      <c r="B74" s="6">
        <v>45735</v>
      </c>
      <c r="C74" s="3" t="s">
        <v>449</v>
      </c>
      <c r="D74" s="3" t="s">
        <v>706</v>
      </c>
      <c r="E74" s="3" t="s">
        <v>158</v>
      </c>
      <c r="F74" s="3" t="s">
        <v>569</v>
      </c>
      <c r="G74" s="3" t="s">
        <v>38</v>
      </c>
      <c r="H74" s="3">
        <v>6</v>
      </c>
      <c r="I74" s="3">
        <v>250</v>
      </c>
      <c r="J74" s="3">
        <v>1500</v>
      </c>
      <c r="K74" s="3" t="s">
        <v>93</v>
      </c>
      <c r="L74" s="3" t="str">
        <f>_xlfn.XLOOKUP(K74,Employees!$A$2:$A$51,Employees!$B$2:$B$51)</f>
        <v>Aisha Khan</v>
      </c>
      <c r="M74" s="3" t="str">
        <f>_xlfn.XLOOKUP(K74,Employees!$A$2:$A$51,Employees!$E$2:$E$51)</f>
        <v>Delhi</v>
      </c>
      <c r="N74" s="3" t="s">
        <v>45</v>
      </c>
      <c r="O74" s="3" t="s">
        <v>48</v>
      </c>
      <c r="P74" s="11"/>
    </row>
    <row r="75" spans="1:16" x14ac:dyDescent="0.25">
      <c r="A75" s="3" t="s">
        <v>707</v>
      </c>
      <c r="B75" s="6">
        <v>45736</v>
      </c>
      <c r="C75" s="3" t="s">
        <v>452</v>
      </c>
      <c r="D75" s="3" t="s">
        <v>708</v>
      </c>
      <c r="E75" s="3" t="s">
        <v>159</v>
      </c>
      <c r="F75" s="3" t="s">
        <v>572</v>
      </c>
      <c r="G75" s="3" t="s">
        <v>39</v>
      </c>
      <c r="H75" s="3">
        <v>2</v>
      </c>
      <c r="I75" s="3">
        <v>9000</v>
      </c>
      <c r="J75" s="3">
        <v>18000</v>
      </c>
      <c r="K75" s="3" t="s">
        <v>94</v>
      </c>
      <c r="L75" s="3" t="str">
        <f>_xlfn.XLOOKUP(K75,Employees!$A$2:$A$51,Employees!$B$2:$B$51)</f>
        <v>Vikram Iyer</v>
      </c>
      <c r="M75" s="3" t="str">
        <f>_xlfn.XLOOKUP(K75,Employees!$A$2:$A$51,Employees!$E$2:$E$51)</f>
        <v>Bangalore</v>
      </c>
      <c r="N75" s="3" t="s">
        <v>42</v>
      </c>
      <c r="O75" s="3" t="s">
        <v>47</v>
      </c>
      <c r="P75" s="11"/>
    </row>
    <row r="76" spans="1:16" x14ac:dyDescent="0.25">
      <c r="A76" s="3" t="s">
        <v>709</v>
      </c>
      <c r="B76" s="6">
        <v>45737</v>
      </c>
      <c r="C76" s="3" t="s">
        <v>455</v>
      </c>
      <c r="D76" s="3" t="s">
        <v>710</v>
      </c>
      <c r="E76" s="3" t="s">
        <v>160</v>
      </c>
      <c r="F76" s="3" t="s">
        <v>575</v>
      </c>
      <c r="G76" s="3" t="s">
        <v>40</v>
      </c>
      <c r="H76" s="3">
        <v>4</v>
      </c>
      <c r="I76" s="3">
        <v>600</v>
      </c>
      <c r="J76" s="3">
        <v>2400</v>
      </c>
      <c r="K76" s="3" t="s">
        <v>101</v>
      </c>
      <c r="L76" s="3" t="str">
        <f>_xlfn.XLOOKUP(K76,Employees!$A$2:$A$51,Employees!$B$2:$B$51)</f>
        <v>Neha Gupta</v>
      </c>
      <c r="M76" s="3" t="str">
        <f>_xlfn.XLOOKUP(K76,Employees!$A$2:$A$51,Employees!$E$2:$E$51)</f>
        <v>Mumbai</v>
      </c>
      <c r="N76" s="3" t="s">
        <v>43</v>
      </c>
      <c r="O76" s="3" t="s">
        <v>48</v>
      </c>
      <c r="P76" s="11"/>
    </row>
    <row r="77" spans="1:16" x14ac:dyDescent="0.25">
      <c r="A77" s="3" t="s">
        <v>711</v>
      </c>
      <c r="B77" s="6">
        <v>45738</v>
      </c>
      <c r="C77" s="3" t="s">
        <v>458</v>
      </c>
      <c r="D77" s="3" t="s">
        <v>712</v>
      </c>
      <c r="E77" s="3" t="s">
        <v>161</v>
      </c>
      <c r="F77" s="3" t="s">
        <v>578</v>
      </c>
      <c r="G77" s="3" t="s">
        <v>36</v>
      </c>
      <c r="H77" s="3">
        <v>3</v>
      </c>
      <c r="I77" s="3">
        <v>21000</v>
      </c>
      <c r="J77" s="3">
        <v>63000</v>
      </c>
      <c r="K77" s="3" t="s">
        <v>105</v>
      </c>
      <c r="L77" s="3" t="str">
        <f>_xlfn.XLOOKUP(K77,Employees!$A$2:$A$51,Employees!$B$2:$B$51)</f>
        <v>Harish Ramanan</v>
      </c>
      <c r="M77" s="3" t="str">
        <f>_xlfn.XLOOKUP(K77,Employees!$A$2:$A$51,Employees!$E$2:$E$51)</f>
        <v>Chennai</v>
      </c>
      <c r="N77" s="3" t="s">
        <v>44</v>
      </c>
      <c r="O77" s="3" t="s">
        <v>49</v>
      </c>
      <c r="P77" s="11"/>
    </row>
    <row r="78" spans="1:16" x14ac:dyDescent="0.25">
      <c r="A78" s="3" t="s">
        <v>713</v>
      </c>
      <c r="B78" s="6">
        <v>45739</v>
      </c>
      <c r="C78" s="3" t="s">
        <v>461</v>
      </c>
      <c r="D78" s="3" t="s">
        <v>714</v>
      </c>
      <c r="E78" s="3" t="s">
        <v>162</v>
      </c>
      <c r="F78" s="3" t="s">
        <v>581</v>
      </c>
      <c r="G78" s="3" t="s">
        <v>37</v>
      </c>
      <c r="H78" s="3">
        <v>2</v>
      </c>
      <c r="I78" s="3">
        <v>2500</v>
      </c>
      <c r="J78" s="3">
        <v>5000</v>
      </c>
      <c r="K78" s="3" t="s">
        <v>106</v>
      </c>
      <c r="L78" s="3" t="str">
        <f>_xlfn.XLOOKUP(K78,Employees!$A$2:$A$51,Employees!$B$2:$B$51)</f>
        <v>Lakshmi Devi</v>
      </c>
      <c r="M78" s="3" t="str">
        <f>_xlfn.XLOOKUP(K78,Employees!$A$2:$A$51,Employees!$E$2:$E$51)</f>
        <v>Bangalore</v>
      </c>
      <c r="N78" s="3" t="s">
        <v>44</v>
      </c>
      <c r="O78" s="3" t="s">
        <v>48</v>
      </c>
      <c r="P78" s="11"/>
    </row>
    <row r="79" spans="1:16" x14ac:dyDescent="0.25">
      <c r="A79" s="3" t="s">
        <v>715</v>
      </c>
      <c r="B79" s="6">
        <v>45740</v>
      </c>
      <c r="C79" s="3" t="s">
        <v>464</v>
      </c>
      <c r="D79" s="3" t="s">
        <v>716</v>
      </c>
      <c r="E79" s="3" t="s">
        <v>163</v>
      </c>
      <c r="F79" s="3" t="s">
        <v>584</v>
      </c>
      <c r="G79" s="3" t="s">
        <v>38</v>
      </c>
      <c r="H79" s="3">
        <v>8</v>
      </c>
      <c r="I79" s="3">
        <v>700</v>
      </c>
      <c r="J79" s="3">
        <v>5600</v>
      </c>
      <c r="K79" s="3" t="s">
        <v>107</v>
      </c>
      <c r="L79" s="3" t="str">
        <f>_xlfn.XLOOKUP(K79,Employees!$A$2:$A$51,Employees!$B$2:$B$51)</f>
        <v>Mohammed Ali</v>
      </c>
      <c r="M79" s="3" t="str">
        <f>_xlfn.XLOOKUP(K79,Employees!$A$2:$A$51,Employees!$E$2:$E$51)</f>
        <v>Hydrabed</v>
      </c>
      <c r="N79" s="3" t="s">
        <v>43</v>
      </c>
      <c r="O79" s="3" t="s">
        <v>46</v>
      </c>
      <c r="P79" s="11"/>
    </row>
    <row r="80" spans="1:16" x14ac:dyDescent="0.25">
      <c r="A80" s="3" t="s">
        <v>717</v>
      </c>
      <c r="B80" s="6">
        <v>45741</v>
      </c>
      <c r="C80" s="3" t="s">
        <v>467</v>
      </c>
      <c r="D80" s="3" t="s">
        <v>718</v>
      </c>
      <c r="E80" s="3" t="s">
        <v>164</v>
      </c>
      <c r="F80" s="3" t="s">
        <v>587</v>
      </c>
      <c r="G80" s="3" t="s">
        <v>39</v>
      </c>
      <c r="H80" s="3">
        <v>1</v>
      </c>
      <c r="I80" s="3">
        <v>18000</v>
      </c>
      <c r="J80" s="3">
        <v>18000</v>
      </c>
      <c r="K80" s="3" t="s">
        <v>108</v>
      </c>
      <c r="L80" s="3" t="str">
        <f>_xlfn.XLOOKUP(K80,Employees!$A$2:$A$51,Employees!$B$2:$B$51)</f>
        <v>Kavya Srinivas</v>
      </c>
      <c r="M80" s="3" t="str">
        <f>_xlfn.XLOOKUP(K80,Employees!$A$2:$A$51,Employees!$E$2:$E$51)</f>
        <v>Delhi</v>
      </c>
      <c r="N80" s="3" t="s">
        <v>42</v>
      </c>
      <c r="O80" s="3" t="s">
        <v>47</v>
      </c>
      <c r="P80" s="11"/>
    </row>
    <row r="81" spans="1:16" x14ac:dyDescent="0.25">
      <c r="A81" s="3" t="s">
        <v>719</v>
      </c>
      <c r="B81" s="6">
        <v>45742</v>
      </c>
      <c r="C81" s="3" t="s">
        <v>470</v>
      </c>
      <c r="D81" s="3" t="s">
        <v>720</v>
      </c>
      <c r="E81" s="3" t="s">
        <v>165</v>
      </c>
      <c r="F81" s="3" t="s">
        <v>590</v>
      </c>
      <c r="G81" s="3" t="s">
        <v>40</v>
      </c>
      <c r="H81" s="3">
        <v>5</v>
      </c>
      <c r="I81" s="3">
        <v>900</v>
      </c>
      <c r="J81" s="3">
        <v>4500</v>
      </c>
      <c r="K81" s="3" t="s">
        <v>109</v>
      </c>
      <c r="L81" s="3" t="str">
        <f>_xlfn.XLOOKUP(K81,Employees!$A$2:$A$51,Employees!$B$2:$B$51)</f>
        <v>Rakesh Sharma</v>
      </c>
      <c r="M81" s="3" t="str">
        <f>_xlfn.XLOOKUP(K81,Employees!$A$2:$A$51,Employees!$E$2:$E$51)</f>
        <v>Mumbai</v>
      </c>
      <c r="N81" s="3" t="s">
        <v>45</v>
      </c>
      <c r="O81" s="3" t="s">
        <v>46</v>
      </c>
      <c r="P81" s="11"/>
    </row>
    <row r="82" spans="1:16" x14ac:dyDescent="0.25">
      <c r="A82" s="3" t="s">
        <v>721</v>
      </c>
      <c r="B82" s="6">
        <v>45743</v>
      </c>
      <c r="C82" s="3" t="s">
        <v>473</v>
      </c>
      <c r="D82" s="3" t="s">
        <v>722</v>
      </c>
      <c r="E82" s="3" t="s">
        <v>166</v>
      </c>
      <c r="F82" s="3" t="s">
        <v>593</v>
      </c>
      <c r="G82" s="3" t="s">
        <v>36</v>
      </c>
      <c r="H82" s="3">
        <v>3</v>
      </c>
      <c r="I82" s="3">
        <v>15000</v>
      </c>
      <c r="J82" s="3">
        <v>45000</v>
      </c>
      <c r="K82" s="3" t="s">
        <v>51</v>
      </c>
      <c r="L82" s="3" t="str">
        <f>_xlfn.XLOOKUP(K82,Employees!$A$2:$A$51,Employees!$B$2:$B$51)</f>
        <v>Arjun Kumar</v>
      </c>
      <c r="M82" s="3" t="str">
        <f>_xlfn.XLOOKUP(K82,Employees!$A$2:$A$51,Employees!$E$2:$E$51)</f>
        <v>Chennai</v>
      </c>
      <c r="N82" s="3" t="s">
        <v>44</v>
      </c>
      <c r="O82" s="3" t="s">
        <v>46</v>
      </c>
      <c r="P82" s="11"/>
    </row>
    <row r="83" spans="1:16" x14ac:dyDescent="0.25">
      <c r="A83" s="3" t="s">
        <v>723</v>
      </c>
      <c r="B83" s="6">
        <v>45744</v>
      </c>
      <c r="C83" s="3" t="s">
        <v>476</v>
      </c>
      <c r="D83" s="3" t="s">
        <v>724</v>
      </c>
      <c r="E83" s="3" t="s">
        <v>167</v>
      </c>
      <c r="F83" s="3" t="s">
        <v>596</v>
      </c>
      <c r="G83" s="3" t="s">
        <v>37</v>
      </c>
      <c r="H83" s="3">
        <v>2</v>
      </c>
      <c r="I83" s="3">
        <v>3000</v>
      </c>
      <c r="J83" s="3">
        <v>6000</v>
      </c>
      <c r="K83" s="3" t="s">
        <v>52</v>
      </c>
      <c r="L83" s="3" t="str">
        <f>_xlfn.XLOOKUP(K83,Employees!$A$2:$A$51,Employees!$B$2:$B$51)</f>
        <v>Priya Sharma</v>
      </c>
      <c r="M83" s="3" t="str">
        <f>_xlfn.XLOOKUP(K83,Employees!$A$2:$A$51,Employees!$E$2:$E$51)</f>
        <v>Bangalore</v>
      </c>
      <c r="N83" s="3" t="s">
        <v>41</v>
      </c>
      <c r="O83" s="3" t="s">
        <v>48</v>
      </c>
      <c r="P83" s="11"/>
    </row>
    <row r="84" spans="1:16" x14ac:dyDescent="0.25">
      <c r="A84" s="3" t="s">
        <v>725</v>
      </c>
      <c r="B84" s="6">
        <v>45745</v>
      </c>
      <c r="C84" s="3" t="s">
        <v>479</v>
      </c>
      <c r="D84" s="3" t="s">
        <v>726</v>
      </c>
      <c r="E84" s="3" t="s">
        <v>168</v>
      </c>
      <c r="F84" s="3" t="s">
        <v>599</v>
      </c>
      <c r="G84" s="3" t="s">
        <v>38</v>
      </c>
      <c r="H84" s="3">
        <v>7</v>
      </c>
      <c r="I84" s="3">
        <v>400</v>
      </c>
      <c r="J84" s="3">
        <v>2800</v>
      </c>
      <c r="K84" s="3" t="s">
        <v>53</v>
      </c>
      <c r="L84" s="3" t="str">
        <f>_xlfn.XLOOKUP(K84,Employees!$A$2:$A$51,Employees!$B$2:$B$51)</f>
        <v>Rahul Verma</v>
      </c>
      <c r="M84" s="3" t="str">
        <f>_xlfn.XLOOKUP(K84,Employees!$A$2:$A$51,Employees!$E$2:$E$51)</f>
        <v>Hydrabed</v>
      </c>
      <c r="N84" s="3" t="s">
        <v>41</v>
      </c>
      <c r="O84" s="3" t="s">
        <v>48</v>
      </c>
      <c r="P84" s="11"/>
    </row>
    <row r="85" spans="1:16" x14ac:dyDescent="0.25">
      <c r="A85" s="3" t="s">
        <v>727</v>
      </c>
      <c r="B85" s="6">
        <v>45746</v>
      </c>
      <c r="C85" s="3" t="s">
        <v>482</v>
      </c>
      <c r="D85" s="3" t="s">
        <v>728</v>
      </c>
      <c r="E85" s="3" t="s">
        <v>169</v>
      </c>
      <c r="F85" s="3" t="s">
        <v>602</v>
      </c>
      <c r="G85" s="3" t="s">
        <v>39</v>
      </c>
      <c r="H85" s="3">
        <v>1</v>
      </c>
      <c r="I85" s="3">
        <v>11000</v>
      </c>
      <c r="J85" s="3">
        <v>11000</v>
      </c>
      <c r="K85" s="3" t="s">
        <v>54</v>
      </c>
      <c r="L85" s="3" t="str">
        <f>_xlfn.XLOOKUP(K85,Employees!$A$2:$A$51,Employees!$B$2:$B$51)</f>
        <v>Sneha Reddy</v>
      </c>
      <c r="M85" s="3" t="str">
        <f>_xlfn.XLOOKUP(K85,Employees!$A$2:$A$51,Employees!$E$2:$E$51)</f>
        <v>Chennai</v>
      </c>
      <c r="N85" s="3" t="s">
        <v>45</v>
      </c>
      <c r="O85" s="3" t="s">
        <v>49</v>
      </c>
      <c r="P85" s="11"/>
    </row>
    <row r="86" spans="1:16" x14ac:dyDescent="0.25">
      <c r="A86" s="3" t="s">
        <v>729</v>
      </c>
      <c r="B86" s="6">
        <v>45747</v>
      </c>
      <c r="C86" s="3" t="s">
        <v>485</v>
      </c>
      <c r="D86" s="3" t="s">
        <v>730</v>
      </c>
      <c r="E86" s="3" t="s">
        <v>170</v>
      </c>
      <c r="F86" s="3" t="s">
        <v>605</v>
      </c>
      <c r="G86" s="3" t="s">
        <v>40</v>
      </c>
      <c r="H86" s="3">
        <v>4</v>
      </c>
      <c r="I86" s="3">
        <v>750</v>
      </c>
      <c r="J86" s="3">
        <v>3000</v>
      </c>
      <c r="K86" s="3" t="s">
        <v>55</v>
      </c>
      <c r="L86" s="3" t="str">
        <f>_xlfn.XLOOKUP(K86,Employees!$A$2:$A$51,Employees!$B$2:$B$51)</f>
        <v>Karthik Raj</v>
      </c>
      <c r="M86" s="3" t="str">
        <f>_xlfn.XLOOKUP(K86,Employees!$A$2:$A$51,Employees!$E$2:$E$51)</f>
        <v>Bangalore</v>
      </c>
      <c r="N86" s="3" t="s">
        <v>41</v>
      </c>
      <c r="O86" s="3" t="s">
        <v>47</v>
      </c>
      <c r="P86" s="11"/>
    </row>
    <row r="87" spans="1:16" x14ac:dyDescent="0.25">
      <c r="A87" s="3" t="s">
        <v>731</v>
      </c>
      <c r="B87" s="6">
        <v>45748</v>
      </c>
      <c r="C87" s="3" t="s">
        <v>488</v>
      </c>
      <c r="D87" s="3" t="s">
        <v>732</v>
      </c>
      <c r="E87" s="3" t="s">
        <v>171</v>
      </c>
      <c r="F87" s="3" t="s">
        <v>608</v>
      </c>
      <c r="G87" s="3" t="s">
        <v>36</v>
      </c>
      <c r="H87" s="3">
        <v>2</v>
      </c>
      <c r="I87" s="3">
        <v>28000</v>
      </c>
      <c r="J87" s="3">
        <v>56000</v>
      </c>
      <c r="K87" s="3" t="s">
        <v>56</v>
      </c>
      <c r="L87" s="3" t="str">
        <f>_xlfn.XLOOKUP(K87,Employees!$A$2:$A$51,Employees!$B$2:$B$51)</f>
        <v xml:space="preserve">Divya Nair </v>
      </c>
      <c r="M87" s="3" t="str">
        <f>_xlfn.XLOOKUP(K87,Employees!$A$2:$A$51,Employees!$E$2:$E$51)</f>
        <v>Hydrabed</v>
      </c>
      <c r="N87" s="3" t="s">
        <v>43</v>
      </c>
      <c r="O87" s="3" t="s">
        <v>48</v>
      </c>
      <c r="P87" s="11"/>
    </row>
    <row r="88" spans="1:16" x14ac:dyDescent="0.25">
      <c r="A88" s="3" t="s">
        <v>733</v>
      </c>
      <c r="B88" s="6">
        <v>45749</v>
      </c>
      <c r="C88" s="3" t="s">
        <v>491</v>
      </c>
      <c r="D88" s="3" t="s">
        <v>734</v>
      </c>
      <c r="E88" s="3" t="s">
        <v>172</v>
      </c>
      <c r="F88" s="3" t="s">
        <v>611</v>
      </c>
      <c r="G88" s="3" t="s">
        <v>37</v>
      </c>
      <c r="H88" s="3">
        <v>5</v>
      </c>
      <c r="I88" s="3">
        <v>1200</v>
      </c>
      <c r="J88" s="3">
        <v>6000</v>
      </c>
      <c r="K88" s="3" t="s">
        <v>57</v>
      </c>
      <c r="L88" s="3" t="str">
        <f>_xlfn.XLOOKUP(K88,Employees!$A$2:$A$51,Employees!$B$2:$B$51)</f>
        <v>Ajay Singh</v>
      </c>
      <c r="M88" s="3" t="str">
        <f>_xlfn.XLOOKUP(K88,Employees!$A$2:$A$51,Employees!$E$2:$E$51)</f>
        <v>Chennai</v>
      </c>
      <c r="N88" s="3" t="s">
        <v>45</v>
      </c>
      <c r="O88" s="3" t="s">
        <v>49</v>
      </c>
      <c r="P88" s="11"/>
    </row>
    <row r="89" spans="1:16" x14ac:dyDescent="0.25">
      <c r="A89" s="3" t="s">
        <v>735</v>
      </c>
      <c r="B89" s="6">
        <v>45750</v>
      </c>
      <c r="C89" s="3" t="s">
        <v>494</v>
      </c>
      <c r="D89" s="3" t="s">
        <v>736</v>
      </c>
      <c r="E89" s="3" t="s">
        <v>173</v>
      </c>
      <c r="F89" s="3" t="s">
        <v>614</v>
      </c>
      <c r="G89" s="3" t="s">
        <v>38</v>
      </c>
      <c r="H89" s="3">
        <v>3</v>
      </c>
      <c r="I89" s="3">
        <v>900</v>
      </c>
      <c r="J89" s="3">
        <v>2700</v>
      </c>
      <c r="K89" s="3" t="s">
        <v>58</v>
      </c>
      <c r="L89" s="3" t="str">
        <f>_xlfn.XLOOKUP(K89,Employees!$A$2:$A$51,Employees!$B$2:$B$51)</f>
        <v>Meera Joshi</v>
      </c>
      <c r="M89" s="3" t="str">
        <f>_xlfn.XLOOKUP(K89,Employees!$A$2:$A$51,Employees!$E$2:$E$51)</f>
        <v>Mumbai</v>
      </c>
      <c r="N89" s="3" t="s">
        <v>44</v>
      </c>
      <c r="O89" s="3" t="s">
        <v>46</v>
      </c>
      <c r="P89" s="11"/>
    </row>
    <row r="90" spans="1:16" x14ac:dyDescent="0.25">
      <c r="A90" s="3" t="s">
        <v>737</v>
      </c>
      <c r="B90" s="6">
        <v>45751</v>
      </c>
      <c r="C90" s="3" t="s">
        <v>497</v>
      </c>
      <c r="D90" s="3" t="s">
        <v>738</v>
      </c>
      <c r="E90" s="3" t="s">
        <v>174</v>
      </c>
      <c r="F90" s="3" t="s">
        <v>617</v>
      </c>
      <c r="G90" s="3" t="s">
        <v>39</v>
      </c>
      <c r="H90" s="3">
        <v>2</v>
      </c>
      <c r="I90" s="3">
        <v>13000</v>
      </c>
      <c r="J90" s="3">
        <v>26000</v>
      </c>
      <c r="K90" s="3" t="s">
        <v>59</v>
      </c>
      <c r="L90" s="3" t="str">
        <f>_xlfn.XLOOKUP(K90,Employees!$A$2:$A$51,Employees!$B$2:$B$51)</f>
        <v>Sanjay Kumar</v>
      </c>
      <c r="M90" s="3" t="str">
        <f>_xlfn.XLOOKUP(K90,Employees!$A$2:$A$51,Employees!$E$2:$E$51)</f>
        <v>Delhi</v>
      </c>
      <c r="N90" s="3" t="s">
        <v>44</v>
      </c>
      <c r="O90" s="3" t="s">
        <v>49</v>
      </c>
      <c r="P90" s="11"/>
    </row>
    <row r="91" spans="1:16" x14ac:dyDescent="0.25">
      <c r="A91" s="3" t="s">
        <v>739</v>
      </c>
      <c r="B91" s="6">
        <v>45752</v>
      </c>
      <c r="C91" s="3" t="s">
        <v>500</v>
      </c>
      <c r="D91" s="3" t="s">
        <v>740</v>
      </c>
      <c r="E91" s="3" t="s">
        <v>175</v>
      </c>
      <c r="F91" s="3" t="s">
        <v>620</v>
      </c>
      <c r="G91" s="3" t="s">
        <v>40</v>
      </c>
      <c r="H91" s="3">
        <v>6</v>
      </c>
      <c r="I91" s="3">
        <v>500</v>
      </c>
      <c r="J91" s="3">
        <v>3000</v>
      </c>
      <c r="K91" s="3" t="s">
        <v>60</v>
      </c>
      <c r="L91" s="3" t="str">
        <f>_xlfn.XLOOKUP(K91,Employees!$A$2:$A$51,Employees!$B$2:$B$51)</f>
        <v>Pooja Patel</v>
      </c>
      <c r="M91" s="3" t="str">
        <f>_xlfn.XLOOKUP(K91,Employees!$A$2:$A$51,Employees!$E$2:$E$51)</f>
        <v>Bangalore</v>
      </c>
      <c r="N91" s="3" t="s">
        <v>43</v>
      </c>
      <c r="O91" s="3" t="s">
        <v>46</v>
      </c>
      <c r="P91" s="11"/>
    </row>
    <row r="92" spans="1:16" x14ac:dyDescent="0.25">
      <c r="A92" s="3" t="s">
        <v>741</v>
      </c>
      <c r="B92" s="6">
        <v>45753</v>
      </c>
      <c r="C92" s="3" t="s">
        <v>503</v>
      </c>
      <c r="D92" s="3" t="s">
        <v>742</v>
      </c>
      <c r="E92" s="3" t="s">
        <v>119</v>
      </c>
      <c r="F92" s="3" t="s">
        <v>533</v>
      </c>
      <c r="G92" s="3" t="s">
        <v>36</v>
      </c>
      <c r="H92" s="3">
        <v>1</v>
      </c>
      <c r="I92" s="3">
        <v>25000</v>
      </c>
      <c r="J92" s="3">
        <v>25000</v>
      </c>
      <c r="K92" s="3" t="s">
        <v>91</v>
      </c>
      <c r="L92" s="3" t="str">
        <f>_xlfn.XLOOKUP(K92,Employees!$A$2:$A$51,Employees!$B$2:$B$51)</f>
        <v>Nithya Krishnan</v>
      </c>
      <c r="M92" s="3" t="str">
        <f>_xlfn.XLOOKUP(K92,Employees!$A$2:$A$51,Employees!$E$2:$E$51)</f>
        <v>Chennai</v>
      </c>
      <c r="N92" s="3" t="s">
        <v>45</v>
      </c>
      <c r="O92" s="3" t="s">
        <v>49</v>
      </c>
      <c r="P92" s="11"/>
    </row>
    <row r="93" spans="1:16" x14ac:dyDescent="0.25">
      <c r="A93" s="3" t="s">
        <v>743</v>
      </c>
      <c r="B93" s="6">
        <v>45754</v>
      </c>
      <c r="C93" s="3" t="s">
        <v>506</v>
      </c>
      <c r="D93" s="3" t="s">
        <v>744</v>
      </c>
      <c r="E93" s="3" t="s">
        <v>120</v>
      </c>
      <c r="F93" s="3" t="s">
        <v>536</v>
      </c>
      <c r="G93" s="3" t="s">
        <v>37</v>
      </c>
      <c r="H93" s="3">
        <v>2</v>
      </c>
      <c r="I93" s="3">
        <v>1500</v>
      </c>
      <c r="J93" s="3">
        <v>3000</v>
      </c>
      <c r="K93" s="3" t="s">
        <v>92</v>
      </c>
      <c r="L93" s="3" t="str">
        <f>_xlfn.XLOOKUP(K93,Employees!$A$2:$A$51,Employees!$B$2:$B$51)</f>
        <v>Rohit Mehta</v>
      </c>
      <c r="M93" s="3" t="str">
        <f>_xlfn.XLOOKUP(K93,Employees!$A$2:$A$51,Employees!$E$2:$E$51)</f>
        <v>Hydrabed</v>
      </c>
      <c r="N93" s="3" t="s">
        <v>45</v>
      </c>
      <c r="O93" s="3" t="s">
        <v>46</v>
      </c>
      <c r="P93" s="11"/>
    </row>
    <row r="94" spans="1:16" x14ac:dyDescent="0.25">
      <c r="A94" s="3" t="s">
        <v>745</v>
      </c>
      <c r="B94" s="6">
        <v>45755</v>
      </c>
      <c r="C94" s="3" t="s">
        <v>509</v>
      </c>
      <c r="D94" s="3" t="s">
        <v>746</v>
      </c>
      <c r="E94" s="3" t="s">
        <v>121</v>
      </c>
      <c r="F94" s="3" t="s">
        <v>539</v>
      </c>
      <c r="G94" s="3" t="s">
        <v>38</v>
      </c>
      <c r="H94" s="3">
        <v>10</v>
      </c>
      <c r="I94" s="3">
        <v>500</v>
      </c>
      <c r="J94" s="3">
        <v>5000</v>
      </c>
      <c r="K94" s="3" t="s">
        <v>93</v>
      </c>
      <c r="L94" s="3" t="str">
        <f>_xlfn.XLOOKUP(K94,Employees!$A$2:$A$51,Employees!$B$2:$B$51)</f>
        <v>Aisha Khan</v>
      </c>
      <c r="M94" s="3" t="str">
        <f>_xlfn.XLOOKUP(K94,Employees!$A$2:$A$51,Employees!$E$2:$E$51)</f>
        <v>Delhi</v>
      </c>
      <c r="N94" s="3" t="s">
        <v>43</v>
      </c>
      <c r="O94" s="3" t="s">
        <v>47</v>
      </c>
      <c r="P94" s="11"/>
    </row>
    <row r="95" spans="1:16" x14ac:dyDescent="0.25">
      <c r="A95" s="3" t="s">
        <v>747</v>
      </c>
      <c r="B95" s="6">
        <v>45756</v>
      </c>
      <c r="C95" s="3" t="s">
        <v>512</v>
      </c>
      <c r="D95" s="3" t="s">
        <v>748</v>
      </c>
      <c r="E95" s="3" t="s">
        <v>122</v>
      </c>
      <c r="F95" s="3" t="s">
        <v>542</v>
      </c>
      <c r="G95" s="3" t="s">
        <v>39</v>
      </c>
      <c r="H95" s="3">
        <v>1</v>
      </c>
      <c r="I95" s="3">
        <v>12000</v>
      </c>
      <c r="J95" s="3">
        <v>12000</v>
      </c>
      <c r="K95" s="3" t="s">
        <v>94</v>
      </c>
      <c r="L95" s="3" t="str">
        <f>_xlfn.XLOOKUP(K95,Employees!$A$2:$A$51,Employees!$B$2:$B$51)</f>
        <v>Vikram Iyer</v>
      </c>
      <c r="M95" s="3" t="str">
        <f>_xlfn.XLOOKUP(K95,Employees!$A$2:$A$51,Employees!$E$2:$E$51)</f>
        <v>Bangalore</v>
      </c>
      <c r="N95" s="3" t="s">
        <v>45</v>
      </c>
      <c r="O95" s="3" t="s">
        <v>47</v>
      </c>
      <c r="P95" s="11"/>
    </row>
    <row r="96" spans="1:16" x14ac:dyDescent="0.25">
      <c r="A96" s="3" t="s">
        <v>749</v>
      </c>
      <c r="B96" s="6">
        <v>45757</v>
      </c>
      <c r="C96" s="3" t="s">
        <v>515</v>
      </c>
      <c r="D96" s="3" t="s">
        <v>750</v>
      </c>
      <c r="E96" s="3" t="s">
        <v>123</v>
      </c>
      <c r="F96" s="3" t="s">
        <v>545</v>
      </c>
      <c r="G96" s="3" t="s">
        <v>40</v>
      </c>
      <c r="H96" s="3">
        <v>3</v>
      </c>
      <c r="I96" s="3">
        <v>800</v>
      </c>
      <c r="J96" s="3">
        <v>2400</v>
      </c>
      <c r="K96" s="3" t="s">
        <v>101</v>
      </c>
      <c r="L96" s="3" t="str">
        <f>_xlfn.XLOOKUP(K96,Employees!$A$2:$A$51,Employees!$B$2:$B$51)</f>
        <v>Neha Gupta</v>
      </c>
      <c r="M96" s="3" t="str">
        <f>_xlfn.XLOOKUP(K96,Employees!$A$2:$A$51,Employees!$E$2:$E$51)</f>
        <v>Mumbai</v>
      </c>
      <c r="N96" s="3" t="s">
        <v>44</v>
      </c>
      <c r="O96" s="3" t="s">
        <v>47</v>
      </c>
      <c r="P96" s="11"/>
    </row>
    <row r="97" spans="1:16" x14ac:dyDescent="0.25">
      <c r="A97" s="3" t="s">
        <v>751</v>
      </c>
      <c r="B97" s="6">
        <v>45758</v>
      </c>
      <c r="C97" s="3" t="s">
        <v>518</v>
      </c>
      <c r="D97" s="3" t="s">
        <v>752</v>
      </c>
      <c r="E97" s="3" t="s">
        <v>124</v>
      </c>
      <c r="F97" s="3" t="s">
        <v>548</v>
      </c>
      <c r="G97" s="3" t="s">
        <v>36</v>
      </c>
      <c r="H97" s="3">
        <v>2</v>
      </c>
      <c r="I97" s="3">
        <v>18000</v>
      </c>
      <c r="J97" s="3">
        <v>36000</v>
      </c>
      <c r="K97" s="3" t="s">
        <v>105</v>
      </c>
      <c r="L97" s="3" t="str">
        <f>_xlfn.XLOOKUP(K97,Employees!$A$2:$A$51,Employees!$B$2:$B$51)</f>
        <v>Harish Ramanan</v>
      </c>
      <c r="M97" s="3" t="str">
        <f>_xlfn.XLOOKUP(K97,Employees!$A$2:$A$51,Employees!$E$2:$E$51)</f>
        <v>Chennai</v>
      </c>
      <c r="N97" s="3" t="s">
        <v>45</v>
      </c>
      <c r="O97" s="3" t="s">
        <v>46</v>
      </c>
      <c r="P97" s="11"/>
    </row>
    <row r="98" spans="1:16" x14ac:dyDescent="0.25">
      <c r="A98" s="3" t="s">
        <v>753</v>
      </c>
      <c r="B98" s="6">
        <v>45759</v>
      </c>
      <c r="C98" s="3" t="s">
        <v>521</v>
      </c>
      <c r="D98" s="3" t="s">
        <v>754</v>
      </c>
      <c r="E98" s="3" t="s">
        <v>125</v>
      </c>
      <c r="F98" s="3" t="s">
        <v>551</v>
      </c>
      <c r="G98" s="3" t="s">
        <v>37</v>
      </c>
      <c r="H98" s="3">
        <v>4</v>
      </c>
      <c r="I98" s="3">
        <v>2200</v>
      </c>
      <c r="J98" s="3">
        <v>8800</v>
      </c>
      <c r="K98" s="3" t="s">
        <v>106</v>
      </c>
      <c r="L98" s="3" t="str">
        <f>_xlfn.XLOOKUP(K98,Employees!$A$2:$A$51,Employees!$B$2:$B$51)</f>
        <v>Lakshmi Devi</v>
      </c>
      <c r="M98" s="3" t="str">
        <f>_xlfn.XLOOKUP(K98,Employees!$A$2:$A$51,Employees!$E$2:$E$51)</f>
        <v>Bangalore</v>
      </c>
      <c r="N98" s="3" t="s">
        <v>44</v>
      </c>
      <c r="O98" s="3" t="s">
        <v>48</v>
      </c>
      <c r="P98" s="11"/>
    </row>
    <row r="99" spans="1:16" x14ac:dyDescent="0.25">
      <c r="A99" s="3" t="s">
        <v>755</v>
      </c>
      <c r="B99" s="6">
        <v>45760</v>
      </c>
      <c r="C99" s="3" t="s">
        <v>524</v>
      </c>
      <c r="D99" s="3" t="s">
        <v>756</v>
      </c>
      <c r="E99" s="3" t="s">
        <v>126</v>
      </c>
      <c r="F99" s="3" t="s">
        <v>554</v>
      </c>
      <c r="G99" s="3" t="s">
        <v>38</v>
      </c>
      <c r="H99" s="3">
        <v>5</v>
      </c>
      <c r="I99" s="3">
        <v>300</v>
      </c>
      <c r="J99" s="3">
        <v>1500</v>
      </c>
      <c r="K99" s="3" t="s">
        <v>107</v>
      </c>
      <c r="L99" s="3" t="str">
        <f>_xlfn.XLOOKUP(K99,Employees!$A$2:$A$51,Employees!$B$2:$B$51)</f>
        <v>Mohammed Ali</v>
      </c>
      <c r="M99" s="3" t="str">
        <f>_xlfn.XLOOKUP(K99,Employees!$A$2:$A$51,Employees!$E$2:$E$51)</f>
        <v>Hydrabed</v>
      </c>
      <c r="N99" s="3" t="s">
        <v>44</v>
      </c>
      <c r="O99" s="3" t="s">
        <v>48</v>
      </c>
      <c r="P99" s="11"/>
    </row>
    <row r="100" spans="1:16" x14ac:dyDescent="0.25">
      <c r="A100" s="3" t="s">
        <v>757</v>
      </c>
      <c r="B100" s="6">
        <v>45761</v>
      </c>
      <c r="C100" s="3" t="s">
        <v>525</v>
      </c>
      <c r="D100" s="3" t="s">
        <v>758</v>
      </c>
      <c r="E100" s="3" t="s">
        <v>127</v>
      </c>
      <c r="F100" s="3" t="s">
        <v>557</v>
      </c>
      <c r="G100" s="3" t="s">
        <v>39</v>
      </c>
      <c r="H100" s="3">
        <v>2</v>
      </c>
      <c r="I100" s="3">
        <v>15000</v>
      </c>
      <c r="J100" s="3">
        <v>30000</v>
      </c>
      <c r="K100" s="3" t="s">
        <v>108</v>
      </c>
      <c r="L100" s="3" t="str">
        <f>_xlfn.XLOOKUP(K100,Employees!$A$2:$A$51,Employees!$B$2:$B$51)</f>
        <v>Kavya Srinivas</v>
      </c>
      <c r="M100" s="3" t="str">
        <f>_xlfn.XLOOKUP(K100,Employees!$A$2:$A$51,Employees!$E$2:$E$51)</f>
        <v>Delhi</v>
      </c>
      <c r="N100" s="3" t="s">
        <v>44</v>
      </c>
      <c r="O100" s="3" t="s">
        <v>49</v>
      </c>
      <c r="P100" s="11"/>
    </row>
    <row r="101" spans="1:16" x14ac:dyDescent="0.25">
      <c r="A101" s="3" t="s">
        <v>759</v>
      </c>
      <c r="B101" s="6">
        <v>45762</v>
      </c>
      <c r="C101" s="3" t="s">
        <v>528</v>
      </c>
      <c r="D101" s="3" t="s">
        <v>760</v>
      </c>
      <c r="E101" s="3" t="s">
        <v>128</v>
      </c>
      <c r="F101" s="3" t="s">
        <v>560</v>
      </c>
      <c r="G101" s="3" t="s">
        <v>40</v>
      </c>
      <c r="H101" s="3">
        <v>3</v>
      </c>
      <c r="I101" s="3">
        <v>1200</v>
      </c>
      <c r="J101" s="3">
        <v>3600</v>
      </c>
      <c r="K101" s="3" t="s">
        <v>109</v>
      </c>
      <c r="L101" s="3" t="str">
        <f>_xlfn.XLOOKUP(K101,Employees!$A$2:$A$51,Employees!$B$2:$B$51)</f>
        <v>Rakesh Sharma</v>
      </c>
      <c r="M101" s="3" t="str">
        <f>_xlfn.XLOOKUP(K101,Employees!$A$2:$A$51,Employees!$E$2:$E$51)</f>
        <v>Mumbai</v>
      </c>
      <c r="N101" s="3" t="s">
        <v>45</v>
      </c>
      <c r="O101" s="3" t="s">
        <v>48</v>
      </c>
      <c r="P101" s="11"/>
    </row>
    <row r="102" spans="1:16" x14ac:dyDescent="0.25">
      <c r="A102" s="3" t="s">
        <v>761</v>
      </c>
      <c r="B102" s="6">
        <v>45763</v>
      </c>
      <c r="C102" s="3" t="s">
        <v>762</v>
      </c>
      <c r="D102" s="3" t="s">
        <v>763</v>
      </c>
      <c r="E102" s="3" t="s">
        <v>156</v>
      </c>
      <c r="F102" s="3" t="s">
        <v>563</v>
      </c>
      <c r="G102" s="3" t="s">
        <v>36</v>
      </c>
      <c r="H102" s="3">
        <v>2</v>
      </c>
      <c r="I102" s="3">
        <v>32000</v>
      </c>
      <c r="J102" s="3">
        <v>64000</v>
      </c>
      <c r="K102" s="3" t="s">
        <v>51</v>
      </c>
      <c r="L102" s="3" t="str">
        <f>_xlfn.XLOOKUP(K102,Employees!$A$2:$A$51,Employees!$B$2:$B$51)</f>
        <v>Arjun Kumar</v>
      </c>
      <c r="M102" s="3" t="str">
        <f>_xlfn.XLOOKUP(K102,Employees!$A$2:$A$51,Employees!$E$2:$E$51)</f>
        <v>Chennai</v>
      </c>
      <c r="N102" s="3" t="s">
        <v>45</v>
      </c>
      <c r="O102" s="3" t="s">
        <v>46</v>
      </c>
      <c r="P102" s="11"/>
    </row>
    <row r="103" spans="1:16" x14ac:dyDescent="0.25">
      <c r="A103" s="3" t="s">
        <v>764</v>
      </c>
      <c r="B103" s="6">
        <v>45764</v>
      </c>
      <c r="C103" s="3" t="s">
        <v>765</v>
      </c>
      <c r="D103" s="3" t="s">
        <v>766</v>
      </c>
      <c r="E103" s="3" t="s">
        <v>157</v>
      </c>
      <c r="F103" s="3" t="s">
        <v>566</v>
      </c>
      <c r="G103" s="3" t="s">
        <v>37</v>
      </c>
      <c r="H103" s="3">
        <v>1</v>
      </c>
      <c r="I103" s="3">
        <v>1800</v>
      </c>
      <c r="J103" s="3">
        <v>1800</v>
      </c>
      <c r="K103" s="3" t="s">
        <v>52</v>
      </c>
      <c r="L103" s="3" t="str">
        <f>_xlfn.XLOOKUP(K103,Employees!$A$2:$A$51,Employees!$B$2:$B$51)</f>
        <v>Priya Sharma</v>
      </c>
      <c r="M103" s="3" t="str">
        <f>_xlfn.XLOOKUP(K103,Employees!$A$2:$A$51,Employees!$E$2:$E$51)</f>
        <v>Bangalore</v>
      </c>
      <c r="N103" s="3" t="s">
        <v>44</v>
      </c>
      <c r="O103" s="3" t="s">
        <v>48</v>
      </c>
      <c r="P103" s="11"/>
    </row>
    <row r="104" spans="1:16" x14ac:dyDescent="0.25">
      <c r="A104" s="3" t="s">
        <v>767</v>
      </c>
      <c r="B104" s="6">
        <v>45765</v>
      </c>
      <c r="C104" s="3" t="s">
        <v>768</v>
      </c>
      <c r="D104" s="3" t="s">
        <v>769</v>
      </c>
      <c r="E104" s="3" t="s">
        <v>158</v>
      </c>
      <c r="F104" s="3" t="s">
        <v>569</v>
      </c>
      <c r="G104" s="3" t="s">
        <v>38</v>
      </c>
      <c r="H104" s="3">
        <v>6</v>
      </c>
      <c r="I104" s="3">
        <v>250</v>
      </c>
      <c r="J104" s="3">
        <v>1500</v>
      </c>
      <c r="K104" s="3" t="s">
        <v>53</v>
      </c>
      <c r="L104" s="3" t="str">
        <f>_xlfn.XLOOKUP(K104,Employees!$A$2:$A$51,Employees!$B$2:$B$51)</f>
        <v>Rahul Verma</v>
      </c>
      <c r="M104" s="3" t="str">
        <f>_xlfn.XLOOKUP(K104,Employees!$A$2:$A$51,Employees!$E$2:$E$51)</f>
        <v>Hydrabed</v>
      </c>
      <c r="N104" s="3" t="s">
        <v>42</v>
      </c>
      <c r="O104" s="3" t="s">
        <v>46</v>
      </c>
      <c r="P104" s="11"/>
    </row>
    <row r="105" spans="1:16" x14ac:dyDescent="0.25">
      <c r="A105" s="3" t="s">
        <v>770</v>
      </c>
      <c r="B105" s="6">
        <v>45766</v>
      </c>
      <c r="C105" s="3" t="s">
        <v>771</v>
      </c>
      <c r="D105" s="3" t="s">
        <v>772</v>
      </c>
      <c r="E105" s="3" t="s">
        <v>159</v>
      </c>
      <c r="F105" s="3" t="s">
        <v>572</v>
      </c>
      <c r="G105" s="3" t="s">
        <v>39</v>
      </c>
      <c r="H105" s="3">
        <v>2</v>
      </c>
      <c r="I105" s="3">
        <v>9000</v>
      </c>
      <c r="J105" s="3">
        <v>18000</v>
      </c>
      <c r="K105" s="3" t="s">
        <v>54</v>
      </c>
      <c r="L105" s="3" t="str">
        <f>_xlfn.XLOOKUP(K105,Employees!$A$2:$A$51,Employees!$B$2:$B$51)</f>
        <v>Sneha Reddy</v>
      </c>
      <c r="M105" s="3" t="str">
        <f>_xlfn.XLOOKUP(K105,Employees!$A$2:$A$51,Employees!$E$2:$E$51)</f>
        <v>Chennai</v>
      </c>
      <c r="N105" s="3" t="s">
        <v>43</v>
      </c>
      <c r="O105" s="3" t="s">
        <v>48</v>
      </c>
      <c r="P105" s="11"/>
    </row>
    <row r="106" spans="1:16" x14ac:dyDescent="0.25">
      <c r="A106" s="3" t="s">
        <v>773</v>
      </c>
      <c r="B106" s="6">
        <v>45767</v>
      </c>
      <c r="C106" s="3" t="s">
        <v>774</v>
      </c>
      <c r="D106" s="3" t="s">
        <v>775</v>
      </c>
      <c r="E106" s="3" t="s">
        <v>160</v>
      </c>
      <c r="F106" s="3" t="s">
        <v>575</v>
      </c>
      <c r="G106" s="3" t="s">
        <v>40</v>
      </c>
      <c r="H106" s="3">
        <v>4</v>
      </c>
      <c r="I106" s="3">
        <v>600</v>
      </c>
      <c r="J106" s="3">
        <v>2400</v>
      </c>
      <c r="K106" s="3" t="s">
        <v>55</v>
      </c>
      <c r="L106" s="3" t="str">
        <f>_xlfn.XLOOKUP(K106,Employees!$A$2:$A$51,Employees!$B$2:$B$51)</f>
        <v>Karthik Raj</v>
      </c>
      <c r="M106" s="3" t="str">
        <f>_xlfn.XLOOKUP(K106,Employees!$A$2:$A$51,Employees!$E$2:$E$51)</f>
        <v>Bangalore</v>
      </c>
      <c r="N106" s="3" t="s">
        <v>44</v>
      </c>
      <c r="O106" s="3" t="s">
        <v>48</v>
      </c>
      <c r="P106" s="11"/>
    </row>
    <row r="107" spans="1:16" x14ac:dyDescent="0.25">
      <c r="A107" s="3" t="s">
        <v>776</v>
      </c>
      <c r="B107" s="6">
        <v>45768</v>
      </c>
      <c r="C107" s="3" t="s">
        <v>777</v>
      </c>
      <c r="D107" s="3" t="s">
        <v>778</v>
      </c>
      <c r="E107" s="3" t="s">
        <v>161</v>
      </c>
      <c r="F107" s="3" t="s">
        <v>578</v>
      </c>
      <c r="G107" s="3" t="s">
        <v>36</v>
      </c>
      <c r="H107" s="3">
        <v>3</v>
      </c>
      <c r="I107" s="3">
        <v>21000</v>
      </c>
      <c r="J107" s="3">
        <v>63000</v>
      </c>
      <c r="K107" s="3" t="s">
        <v>56</v>
      </c>
      <c r="L107" s="3" t="str">
        <f>_xlfn.XLOOKUP(K107,Employees!$A$2:$A$51,Employees!$B$2:$B$51)</f>
        <v xml:space="preserve">Divya Nair </v>
      </c>
      <c r="M107" s="3" t="str">
        <f>_xlfn.XLOOKUP(K107,Employees!$A$2:$A$51,Employees!$E$2:$E$51)</f>
        <v>Hydrabed</v>
      </c>
      <c r="N107" s="3" t="s">
        <v>43</v>
      </c>
      <c r="O107" s="3" t="s">
        <v>48</v>
      </c>
      <c r="P107" s="11"/>
    </row>
    <row r="108" spans="1:16" x14ac:dyDescent="0.25">
      <c r="A108" s="3" t="s">
        <v>779</v>
      </c>
      <c r="B108" s="6">
        <v>45769</v>
      </c>
      <c r="C108" s="3" t="s">
        <v>780</v>
      </c>
      <c r="D108" s="3" t="s">
        <v>781</v>
      </c>
      <c r="E108" s="3" t="s">
        <v>162</v>
      </c>
      <c r="F108" s="3" t="s">
        <v>581</v>
      </c>
      <c r="G108" s="3" t="s">
        <v>37</v>
      </c>
      <c r="H108" s="3">
        <v>2</v>
      </c>
      <c r="I108" s="3">
        <v>2500</v>
      </c>
      <c r="J108" s="3">
        <v>5000</v>
      </c>
      <c r="K108" s="3" t="s">
        <v>57</v>
      </c>
      <c r="L108" s="3" t="str">
        <f>_xlfn.XLOOKUP(K108,Employees!$A$2:$A$51,Employees!$B$2:$B$51)</f>
        <v>Ajay Singh</v>
      </c>
      <c r="M108" s="3" t="str">
        <f>_xlfn.XLOOKUP(K108,Employees!$A$2:$A$51,Employees!$E$2:$E$51)</f>
        <v>Chennai</v>
      </c>
      <c r="N108" s="3" t="s">
        <v>45</v>
      </c>
      <c r="O108" s="3" t="s">
        <v>49</v>
      </c>
      <c r="P108" s="11"/>
    </row>
    <row r="109" spans="1:16" x14ac:dyDescent="0.25">
      <c r="A109" s="3" t="s">
        <v>782</v>
      </c>
      <c r="B109" s="6">
        <v>45770</v>
      </c>
      <c r="C109" s="3" t="s">
        <v>783</v>
      </c>
      <c r="D109" s="3" t="s">
        <v>784</v>
      </c>
      <c r="E109" s="3" t="s">
        <v>163</v>
      </c>
      <c r="F109" s="3" t="s">
        <v>584</v>
      </c>
      <c r="G109" s="3" t="s">
        <v>38</v>
      </c>
      <c r="H109" s="3">
        <v>8</v>
      </c>
      <c r="I109" s="3">
        <v>700</v>
      </c>
      <c r="J109" s="3">
        <v>5600</v>
      </c>
      <c r="K109" s="3" t="s">
        <v>58</v>
      </c>
      <c r="L109" s="3" t="str">
        <f>_xlfn.XLOOKUP(K109,Employees!$A$2:$A$51,Employees!$B$2:$B$51)</f>
        <v>Meera Joshi</v>
      </c>
      <c r="M109" s="3" t="str">
        <f>_xlfn.XLOOKUP(K109,Employees!$A$2:$A$51,Employees!$E$2:$E$51)</f>
        <v>Mumbai</v>
      </c>
      <c r="N109" s="3" t="s">
        <v>42</v>
      </c>
      <c r="O109" s="3" t="s">
        <v>46</v>
      </c>
      <c r="P109" s="11"/>
    </row>
    <row r="110" spans="1:16" x14ac:dyDescent="0.25">
      <c r="A110" s="3" t="s">
        <v>785</v>
      </c>
      <c r="B110" s="6">
        <v>45771</v>
      </c>
      <c r="C110" s="3" t="s">
        <v>786</v>
      </c>
      <c r="D110" s="3" t="s">
        <v>787</v>
      </c>
      <c r="E110" s="3" t="s">
        <v>164</v>
      </c>
      <c r="F110" s="3" t="s">
        <v>587</v>
      </c>
      <c r="G110" s="3" t="s">
        <v>39</v>
      </c>
      <c r="H110" s="3">
        <v>1</v>
      </c>
      <c r="I110" s="3">
        <v>18000</v>
      </c>
      <c r="J110" s="3">
        <v>18000</v>
      </c>
      <c r="K110" s="3" t="s">
        <v>59</v>
      </c>
      <c r="L110" s="3" t="str">
        <f>_xlfn.XLOOKUP(K110,Employees!$A$2:$A$51,Employees!$B$2:$B$51)</f>
        <v>Sanjay Kumar</v>
      </c>
      <c r="M110" s="3" t="str">
        <f>_xlfn.XLOOKUP(K110,Employees!$A$2:$A$51,Employees!$E$2:$E$51)</f>
        <v>Delhi</v>
      </c>
      <c r="N110" s="3" t="s">
        <v>42</v>
      </c>
      <c r="O110" s="3" t="s">
        <v>47</v>
      </c>
      <c r="P110" s="11"/>
    </row>
    <row r="111" spans="1:16" x14ac:dyDescent="0.25">
      <c r="A111" s="3" t="s">
        <v>788</v>
      </c>
      <c r="B111" s="6">
        <v>45772</v>
      </c>
      <c r="C111" s="3" t="s">
        <v>789</v>
      </c>
      <c r="D111" s="3" t="s">
        <v>790</v>
      </c>
      <c r="E111" s="3" t="s">
        <v>165</v>
      </c>
      <c r="F111" s="3" t="s">
        <v>590</v>
      </c>
      <c r="G111" s="3" t="s">
        <v>40</v>
      </c>
      <c r="H111" s="3">
        <v>5</v>
      </c>
      <c r="I111" s="3">
        <v>900</v>
      </c>
      <c r="J111" s="3">
        <v>4500</v>
      </c>
      <c r="K111" s="3" t="s">
        <v>60</v>
      </c>
      <c r="L111" s="3" t="str">
        <f>_xlfn.XLOOKUP(K111,Employees!$A$2:$A$51,Employees!$B$2:$B$51)</f>
        <v>Pooja Patel</v>
      </c>
      <c r="M111" s="3" t="str">
        <f>_xlfn.XLOOKUP(K111,Employees!$A$2:$A$51,Employees!$E$2:$E$51)</f>
        <v>Bangalore</v>
      </c>
      <c r="N111" s="3" t="s">
        <v>41</v>
      </c>
      <c r="O111" s="3" t="s">
        <v>47</v>
      </c>
      <c r="P111" s="11"/>
    </row>
    <row r="112" spans="1:16" x14ac:dyDescent="0.25">
      <c r="A112" s="3" t="s">
        <v>791</v>
      </c>
      <c r="B112" s="6">
        <v>45773</v>
      </c>
      <c r="C112" s="3" t="s">
        <v>792</v>
      </c>
      <c r="D112" s="3" t="s">
        <v>793</v>
      </c>
      <c r="E112" s="3" t="s">
        <v>166</v>
      </c>
      <c r="F112" s="3" t="s">
        <v>593</v>
      </c>
      <c r="G112" s="3" t="s">
        <v>36</v>
      </c>
      <c r="H112" s="3">
        <v>3</v>
      </c>
      <c r="I112" s="3">
        <v>15000</v>
      </c>
      <c r="J112" s="3">
        <v>45000</v>
      </c>
      <c r="K112" s="3" t="s">
        <v>91</v>
      </c>
      <c r="L112" s="3" t="str">
        <f>_xlfn.XLOOKUP(K112,Employees!$A$2:$A$51,Employees!$B$2:$B$51)</f>
        <v>Nithya Krishnan</v>
      </c>
      <c r="M112" s="3" t="str">
        <f>_xlfn.XLOOKUP(K112,Employees!$A$2:$A$51,Employees!$E$2:$E$51)</f>
        <v>Chennai</v>
      </c>
      <c r="N112" s="3" t="s">
        <v>44</v>
      </c>
      <c r="O112" s="3" t="s">
        <v>47</v>
      </c>
      <c r="P112" s="11"/>
    </row>
    <row r="113" spans="1:16" x14ac:dyDescent="0.25">
      <c r="A113" s="3" t="s">
        <v>794</v>
      </c>
      <c r="B113" s="6">
        <v>45774</v>
      </c>
      <c r="C113" s="3" t="s">
        <v>795</v>
      </c>
      <c r="D113" s="3" t="s">
        <v>796</v>
      </c>
      <c r="E113" s="3" t="s">
        <v>167</v>
      </c>
      <c r="F113" s="3" t="s">
        <v>596</v>
      </c>
      <c r="G113" s="3" t="s">
        <v>37</v>
      </c>
      <c r="H113" s="3">
        <v>2</v>
      </c>
      <c r="I113" s="3">
        <v>3000</v>
      </c>
      <c r="J113" s="3">
        <v>6000</v>
      </c>
      <c r="K113" s="3" t="s">
        <v>92</v>
      </c>
      <c r="L113" s="3" t="str">
        <f>_xlfn.XLOOKUP(K113,Employees!$A$2:$A$51,Employees!$B$2:$B$51)</f>
        <v>Rohit Mehta</v>
      </c>
      <c r="M113" s="3" t="str">
        <f>_xlfn.XLOOKUP(K113,Employees!$A$2:$A$51,Employees!$E$2:$E$51)</f>
        <v>Hydrabed</v>
      </c>
      <c r="N113" s="3" t="s">
        <v>41</v>
      </c>
      <c r="O113" s="3" t="s">
        <v>48</v>
      </c>
      <c r="P113" s="11"/>
    </row>
    <row r="114" spans="1:16" x14ac:dyDescent="0.25">
      <c r="A114" s="3" t="s">
        <v>797</v>
      </c>
      <c r="B114" s="6">
        <v>45775</v>
      </c>
      <c r="C114" s="3" t="s">
        <v>798</v>
      </c>
      <c r="D114" s="3" t="s">
        <v>799</v>
      </c>
      <c r="E114" s="3" t="s">
        <v>168</v>
      </c>
      <c r="F114" s="3" t="s">
        <v>599</v>
      </c>
      <c r="G114" s="3" t="s">
        <v>38</v>
      </c>
      <c r="H114" s="3">
        <v>7</v>
      </c>
      <c r="I114" s="3">
        <v>400</v>
      </c>
      <c r="J114" s="3">
        <v>2800</v>
      </c>
      <c r="K114" s="3" t="s">
        <v>93</v>
      </c>
      <c r="L114" s="3" t="str">
        <f>_xlfn.XLOOKUP(K114,Employees!$A$2:$A$51,Employees!$B$2:$B$51)</f>
        <v>Aisha Khan</v>
      </c>
      <c r="M114" s="3" t="str">
        <f>_xlfn.XLOOKUP(K114,Employees!$A$2:$A$51,Employees!$E$2:$E$51)</f>
        <v>Delhi</v>
      </c>
      <c r="N114" s="3" t="s">
        <v>43</v>
      </c>
      <c r="O114" s="3" t="s">
        <v>48</v>
      </c>
      <c r="P114" s="11"/>
    </row>
    <row r="115" spans="1:16" x14ac:dyDescent="0.25">
      <c r="A115" s="3" t="s">
        <v>800</v>
      </c>
      <c r="B115" s="6">
        <v>45776</v>
      </c>
      <c r="C115" s="3" t="s">
        <v>801</v>
      </c>
      <c r="D115" s="3" t="s">
        <v>802</v>
      </c>
      <c r="E115" s="3" t="s">
        <v>169</v>
      </c>
      <c r="F115" s="3" t="s">
        <v>602</v>
      </c>
      <c r="G115" s="3" t="s">
        <v>39</v>
      </c>
      <c r="H115" s="3">
        <v>1</v>
      </c>
      <c r="I115" s="3">
        <v>11000</v>
      </c>
      <c r="J115" s="3">
        <v>11000</v>
      </c>
      <c r="K115" s="3" t="s">
        <v>94</v>
      </c>
      <c r="L115" s="3" t="str">
        <f>_xlfn.XLOOKUP(K115,Employees!$A$2:$A$51,Employees!$B$2:$B$51)</f>
        <v>Vikram Iyer</v>
      </c>
      <c r="M115" s="3" t="str">
        <f>_xlfn.XLOOKUP(K115,Employees!$A$2:$A$51,Employees!$E$2:$E$51)</f>
        <v>Bangalore</v>
      </c>
      <c r="N115" s="3" t="s">
        <v>42</v>
      </c>
      <c r="O115" s="3" t="s">
        <v>47</v>
      </c>
      <c r="P115" s="11"/>
    </row>
    <row r="116" spans="1:16" x14ac:dyDescent="0.25">
      <c r="A116" s="3" t="s">
        <v>803</v>
      </c>
      <c r="B116" s="6">
        <v>45777</v>
      </c>
      <c r="C116" s="3" t="s">
        <v>804</v>
      </c>
      <c r="D116" s="3" t="s">
        <v>805</v>
      </c>
      <c r="E116" s="3" t="s">
        <v>170</v>
      </c>
      <c r="F116" s="3" t="s">
        <v>605</v>
      </c>
      <c r="G116" s="3" t="s">
        <v>40</v>
      </c>
      <c r="H116" s="3">
        <v>4</v>
      </c>
      <c r="I116" s="3">
        <v>750</v>
      </c>
      <c r="J116" s="3">
        <v>3000</v>
      </c>
      <c r="K116" s="3" t="s">
        <v>101</v>
      </c>
      <c r="L116" s="3" t="str">
        <f>_xlfn.XLOOKUP(K116,Employees!$A$2:$A$51,Employees!$B$2:$B$51)</f>
        <v>Neha Gupta</v>
      </c>
      <c r="M116" s="3" t="str">
        <f>_xlfn.XLOOKUP(K116,Employees!$A$2:$A$51,Employees!$E$2:$E$51)</f>
        <v>Mumbai</v>
      </c>
      <c r="N116" s="3" t="s">
        <v>45</v>
      </c>
      <c r="O116" s="3" t="s">
        <v>49</v>
      </c>
      <c r="P116" s="11"/>
    </row>
    <row r="117" spans="1:16" x14ac:dyDescent="0.25">
      <c r="A117" s="3" t="s">
        <v>806</v>
      </c>
      <c r="B117" s="6">
        <v>45778</v>
      </c>
      <c r="C117" s="3" t="s">
        <v>807</v>
      </c>
      <c r="D117" s="3" t="s">
        <v>808</v>
      </c>
      <c r="E117" s="3" t="s">
        <v>171</v>
      </c>
      <c r="F117" s="3" t="s">
        <v>608</v>
      </c>
      <c r="G117" s="3" t="s">
        <v>36</v>
      </c>
      <c r="H117" s="3">
        <v>2</v>
      </c>
      <c r="I117" s="3">
        <v>28000</v>
      </c>
      <c r="J117" s="3">
        <v>56000</v>
      </c>
      <c r="K117" s="3" t="s">
        <v>105</v>
      </c>
      <c r="L117" s="3" t="str">
        <f>_xlfn.XLOOKUP(K117,Employees!$A$2:$A$51,Employees!$B$2:$B$51)</f>
        <v>Harish Ramanan</v>
      </c>
      <c r="M117" s="3" t="str">
        <f>_xlfn.XLOOKUP(K117,Employees!$A$2:$A$51,Employees!$E$2:$E$51)</f>
        <v>Chennai</v>
      </c>
      <c r="N117" s="3" t="s">
        <v>43</v>
      </c>
      <c r="O117" s="3" t="s">
        <v>46</v>
      </c>
      <c r="P117" s="11"/>
    </row>
    <row r="118" spans="1:16" x14ac:dyDescent="0.25">
      <c r="A118" s="3" t="s">
        <v>809</v>
      </c>
      <c r="B118" s="6">
        <v>45779</v>
      </c>
      <c r="C118" s="3" t="s">
        <v>810</v>
      </c>
      <c r="D118" s="3" t="s">
        <v>811</v>
      </c>
      <c r="E118" s="3" t="s">
        <v>172</v>
      </c>
      <c r="F118" s="3" t="s">
        <v>611</v>
      </c>
      <c r="G118" s="3" t="s">
        <v>37</v>
      </c>
      <c r="H118" s="3">
        <v>5</v>
      </c>
      <c r="I118" s="3">
        <v>1200</v>
      </c>
      <c r="J118" s="3">
        <v>6000</v>
      </c>
      <c r="K118" s="3" t="s">
        <v>106</v>
      </c>
      <c r="L118" s="3" t="str">
        <f>_xlfn.XLOOKUP(K118,Employees!$A$2:$A$51,Employees!$B$2:$B$51)</f>
        <v>Lakshmi Devi</v>
      </c>
      <c r="M118" s="3" t="str">
        <f>_xlfn.XLOOKUP(K118,Employees!$A$2:$A$51,Employees!$E$2:$E$51)</f>
        <v>Bangalore</v>
      </c>
      <c r="N118" s="3" t="s">
        <v>42</v>
      </c>
      <c r="O118" s="3" t="s">
        <v>49</v>
      </c>
      <c r="P118" s="11"/>
    </row>
    <row r="119" spans="1:16" x14ac:dyDescent="0.25">
      <c r="A119" s="3" t="s">
        <v>812</v>
      </c>
      <c r="B119" s="6">
        <v>45780</v>
      </c>
      <c r="C119" s="3" t="s">
        <v>813</v>
      </c>
      <c r="D119" s="3" t="s">
        <v>814</v>
      </c>
      <c r="E119" s="3" t="s">
        <v>173</v>
      </c>
      <c r="F119" s="3" t="s">
        <v>614</v>
      </c>
      <c r="G119" s="3" t="s">
        <v>38</v>
      </c>
      <c r="H119" s="3">
        <v>3</v>
      </c>
      <c r="I119" s="3">
        <v>900</v>
      </c>
      <c r="J119" s="3">
        <v>2700</v>
      </c>
      <c r="K119" s="3" t="s">
        <v>107</v>
      </c>
      <c r="L119" s="3" t="str">
        <f>_xlfn.XLOOKUP(K119,Employees!$A$2:$A$51,Employees!$B$2:$B$51)</f>
        <v>Mohammed Ali</v>
      </c>
      <c r="M119" s="3" t="str">
        <f>_xlfn.XLOOKUP(K119,Employees!$A$2:$A$51,Employees!$E$2:$E$51)</f>
        <v>Hydrabed</v>
      </c>
      <c r="N119" s="3" t="s">
        <v>44</v>
      </c>
      <c r="O119" s="3" t="s">
        <v>46</v>
      </c>
      <c r="P119" s="11"/>
    </row>
    <row r="120" spans="1:16" x14ac:dyDescent="0.25">
      <c r="A120" s="3" t="s">
        <v>815</v>
      </c>
      <c r="B120" s="6">
        <v>45781</v>
      </c>
      <c r="C120" s="3" t="s">
        <v>816</v>
      </c>
      <c r="D120" s="3" t="s">
        <v>817</v>
      </c>
      <c r="E120" s="3" t="s">
        <v>174</v>
      </c>
      <c r="F120" s="3" t="s">
        <v>617</v>
      </c>
      <c r="G120" s="3" t="s">
        <v>39</v>
      </c>
      <c r="H120" s="3">
        <v>2</v>
      </c>
      <c r="I120" s="3">
        <v>13000</v>
      </c>
      <c r="J120" s="3">
        <v>26000</v>
      </c>
      <c r="K120" s="3" t="s">
        <v>108</v>
      </c>
      <c r="L120" s="3" t="str">
        <f>_xlfn.XLOOKUP(K120,Employees!$A$2:$A$51,Employees!$B$2:$B$51)</f>
        <v>Kavya Srinivas</v>
      </c>
      <c r="M120" s="3" t="str">
        <f>_xlfn.XLOOKUP(K120,Employees!$A$2:$A$51,Employees!$E$2:$E$51)</f>
        <v>Delhi</v>
      </c>
      <c r="N120" s="3" t="s">
        <v>45</v>
      </c>
      <c r="O120" s="3" t="s">
        <v>47</v>
      </c>
      <c r="P120" s="11"/>
    </row>
    <row r="121" spans="1:16" x14ac:dyDescent="0.25">
      <c r="A121" s="3" t="s">
        <v>818</v>
      </c>
      <c r="B121" s="6">
        <v>45782</v>
      </c>
      <c r="C121" s="3" t="s">
        <v>819</v>
      </c>
      <c r="D121" s="3" t="s">
        <v>820</v>
      </c>
      <c r="E121" s="3" t="s">
        <v>175</v>
      </c>
      <c r="F121" s="3" t="s">
        <v>620</v>
      </c>
      <c r="G121" s="3" t="s">
        <v>40</v>
      </c>
      <c r="H121" s="3">
        <v>6</v>
      </c>
      <c r="I121" s="3">
        <v>500</v>
      </c>
      <c r="J121" s="3">
        <v>3000</v>
      </c>
      <c r="K121" s="3" t="s">
        <v>109</v>
      </c>
      <c r="L121" s="3" t="str">
        <f>_xlfn.XLOOKUP(K121,Employees!$A$2:$A$51,Employees!$B$2:$B$51)</f>
        <v>Rakesh Sharma</v>
      </c>
      <c r="M121" s="3" t="str">
        <f>_xlfn.XLOOKUP(K121,Employees!$A$2:$A$51,Employees!$E$2:$E$51)</f>
        <v>Mumbai</v>
      </c>
      <c r="N121" s="3" t="s">
        <v>42</v>
      </c>
      <c r="O121" s="3" t="s">
        <v>48</v>
      </c>
      <c r="P121" s="11"/>
    </row>
    <row r="122" spans="1:16" x14ac:dyDescent="0.25">
      <c r="A122" s="3" t="s">
        <v>821</v>
      </c>
      <c r="B122" s="6">
        <v>45783</v>
      </c>
      <c r="C122" s="3" t="s">
        <v>822</v>
      </c>
      <c r="D122" s="3" t="s">
        <v>823</v>
      </c>
      <c r="E122" s="3" t="s">
        <v>119</v>
      </c>
      <c r="F122" s="3" t="s">
        <v>533</v>
      </c>
      <c r="G122" s="3" t="s">
        <v>36</v>
      </c>
      <c r="H122" s="3">
        <v>1</v>
      </c>
      <c r="I122" s="3">
        <v>25000</v>
      </c>
      <c r="J122" s="3">
        <v>25000</v>
      </c>
      <c r="K122" s="3" t="s">
        <v>51</v>
      </c>
      <c r="L122" s="3" t="str">
        <f>_xlfn.XLOOKUP(K122,Employees!$A$2:$A$51,Employees!$B$2:$B$51)</f>
        <v>Arjun Kumar</v>
      </c>
      <c r="M122" s="3" t="str">
        <f>_xlfn.XLOOKUP(K122,Employees!$A$2:$A$51,Employees!$E$2:$E$51)</f>
        <v>Chennai</v>
      </c>
      <c r="N122" s="3" t="s">
        <v>45</v>
      </c>
      <c r="O122" s="3" t="s">
        <v>46</v>
      </c>
      <c r="P122" s="11"/>
    </row>
    <row r="123" spans="1:16" x14ac:dyDescent="0.25">
      <c r="A123" s="3" t="s">
        <v>824</v>
      </c>
      <c r="B123" s="6">
        <v>45784</v>
      </c>
      <c r="C123" s="3" t="s">
        <v>825</v>
      </c>
      <c r="D123" s="3" t="s">
        <v>826</v>
      </c>
      <c r="E123" s="3" t="s">
        <v>120</v>
      </c>
      <c r="F123" s="3" t="s">
        <v>536</v>
      </c>
      <c r="G123" s="3" t="s">
        <v>37</v>
      </c>
      <c r="H123" s="3">
        <v>2</v>
      </c>
      <c r="I123" s="3">
        <v>1500</v>
      </c>
      <c r="J123" s="3">
        <v>3000</v>
      </c>
      <c r="K123" s="3" t="s">
        <v>52</v>
      </c>
      <c r="L123" s="3" t="str">
        <f>_xlfn.XLOOKUP(K123,Employees!$A$2:$A$51,Employees!$B$2:$B$51)</f>
        <v>Priya Sharma</v>
      </c>
      <c r="M123" s="3" t="str">
        <f>_xlfn.XLOOKUP(K123,Employees!$A$2:$A$51,Employees!$E$2:$E$51)</f>
        <v>Bangalore</v>
      </c>
      <c r="N123" s="3" t="s">
        <v>43</v>
      </c>
      <c r="O123" s="3" t="s">
        <v>46</v>
      </c>
      <c r="P123" s="11"/>
    </row>
    <row r="124" spans="1:16" x14ac:dyDescent="0.25">
      <c r="A124" s="3" t="s">
        <v>827</v>
      </c>
      <c r="B124" s="6">
        <v>45785</v>
      </c>
      <c r="C124" s="3" t="s">
        <v>828</v>
      </c>
      <c r="D124" s="3" t="s">
        <v>829</v>
      </c>
      <c r="E124" s="3" t="s">
        <v>121</v>
      </c>
      <c r="F124" s="3" t="s">
        <v>539</v>
      </c>
      <c r="G124" s="3" t="s">
        <v>38</v>
      </c>
      <c r="H124" s="3">
        <v>10</v>
      </c>
      <c r="I124" s="3">
        <v>500</v>
      </c>
      <c r="J124" s="3">
        <v>5000</v>
      </c>
      <c r="K124" s="3" t="s">
        <v>53</v>
      </c>
      <c r="L124" s="3" t="str">
        <f>_xlfn.XLOOKUP(K124,Employees!$A$2:$A$51,Employees!$B$2:$B$51)</f>
        <v>Rahul Verma</v>
      </c>
      <c r="M124" s="3" t="str">
        <f>_xlfn.XLOOKUP(K124,Employees!$A$2:$A$51,Employees!$E$2:$E$51)</f>
        <v>Hydrabed</v>
      </c>
      <c r="N124" s="3" t="s">
        <v>43</v>
      </c>
      <c r="O124" s="3" t="s">
        <v>48</v>
      </c>
      <c r="P124" s="11"/>
    </row>
    <row r="125" spans="1:16" x14ac:dyDescent="0.25">
      <c r="A125" s="3" t="s">
        <v>830</v>
      </c>
      <c r="B125" s="6">
        <v>45786</v>
      </c>
      <c r="C125" s="3" t="s">
        <v>831</v>
      </c>
      <c r="D125" s="3" t="s">
        <v>832</v>
      </c>
      <c r="E125" s="3" t="s">
        <v>122</v>
      </c>
      <c r="F125" s="3" t="s">
        <v>542</v>
      </c>
      <c r="G125" s="3" t="s">
        <v>39</v>
      </c>
      <c r="H125" s="3">
        <v>1</v>
      </c>
      <c r="I125" s="3">
        <v>12000</v>
      </c>
      <c r="J125" s="3">
        <v>12000</v>
      </c>
      <c r="K125" s="3" t="s">
        <v>54</v>
      </c>
      <c r="L125" s="3" t="str">
        <f>_xlfn.XLOOKUP(K125,Employees!$A$2:$A$51,Employees!$B$2:$B$51)</f>
        <v>Sneha Reddy</v>
      </c>
      <c r="M125" s="3" t="str">
        <f>_xlfn.XLOOKUP(K125,Employees!$A$2:$A$51,Employees!$E$2:$E$51)</f>
        <v>Chennai</v>
      </c>
      <c r="N125" s="3" t="s">
        <v>42</v>
      </c>
      <c r="O125" s="3" t="s">
        <v>46</v>
      </c>
      <c r="P125" s="11"/>
    </row>
    <row r="126" spans="1:16" x14ac:dyDescent="0.25">
      <c r="A126" s="3" t="s">
        <v>833</v>
      </c>
      <c r="B126" s="6">
        <v>45787</v>
      </c>
      <c r="C126" s="3" t="s">
        <v>834</v>
      </c>
      <c r="D126" s="3" t="s">
        <v>835</v>
      </c>
      <c r="E126" s="3" t="s">
        <v>123</v>
      </c>
      <c r="F126" s="3" t="s">
        <v>545</v>
      </c>
      <c r="G126" s="3" t="s">
        <v>40</v>
      </c>
      <c r="H126" s="3">
        <v>3</v>
      </c>
      <c r="I126" s="3">
        <v>800</v>
      </c>
      <c r="J126" s="3">
        <v>2400</v>
      </c>
      <c r="K126" s="3" t="s">
        <v>55</v>
      </c>
      <c r="L126" s="3" t="str">
        <f>_xlfn.XLOOKUP(K126,Employees!$A$2:$A$51,Employees!$B$2:$B$51)</f>
        <v>Karthik Raj</v>
      </c>
      <c r="M126" s="3" t="str">
        <f>_xlfn.XLOOKUP(K126,Employees!$A$2:$A$51,Employees!$E$2:$E$51)</f>
        <v>Bangalore</v>
      </c>
      <c r="N126" s="3" t="s">
        <v>41</v>
      </c>
      <c r="O126" s="3" t="s">
        <v>48</v>
      </c>
      <c r="P126" s="11"/>
    </row>
    <row r="127" spans="1:16" x14ac:dyDescent="0.25">
      <c r="A127" s="3" t="s">
        <v>836</v>
      </c>
      <c r="B127" s="6">
        <v>45788</v>
      </c>
      <c r="C127" s="3" t="s">
        <v>837</v>
      </c>
      <c r="D127" s="3" t="s">
        <v>838</v>
      </c>
      <c r="E127" s="3" t="s">
        <v>124</v>
      </c>
      <c r="F127" s="3" t="s">
        <v>548</v>
      </c>
      <c r="G127" s="3" t="s">
        <v>36</v>
      </c>
      <c r="H127" s="3">
        <v>2</v>
      </c>
      <c r="I127" s="3">
        <v>18000</v>
      </c>
      <c r="J127" s="3">
        <v>36000</v>
      </c>
      <c r="K127" s="3" t="s">
        <v>56</v>
      </c>
      <c r="L127" s="3" t="str">
        <f>_xlfn.XLOOKUP(K127,Employees!$A$2:$A$51,Employees!$B$2:$B$51)</f>
        <v xml:space="preserve">Divya Nair </v>
      </c>
      <c r="M127" s="3" t="str">
        <f>_xlfn.XLOOKUP(K127,Employees!$A$2:$A$51,Employees!$E$2:$E$51)</f>
        <v>Hydrabed</v>
      </c>
      <c r="N127" s="3" t="s">
        <v>44</v>
      </c>
      <c r="O127" s="3" t="s">
        <v>49</v>
      </c>
      <c r="P127" s="11"/>
    </row>
    <row r="128" spans="1:16" x14ac:dyDescent="0.25">
      <c r="A128" s="3" t="s">
        <v>839</v>
      </c>
      <c r="B128" s="6">
        <v>45789</v>
      </c>
      <c r="C128" s="3" t="s">
        <v>840</v>
      </c>
      <c r="D128" s="3" t="s">
        <v>841</v>
      </c>
      <c r="E128" s="3" t="s">
        <v>125</v>
      </c>
      <c r="F128" s="3" t="s">
        <v>551</v>
      </c>
      <c r="G128" s="3" t="s">
        <v>37</v>
      </c>
      <c r="H128" s="3">
        <v>4</v>
      </c>
      <c r="I128" s="3">
        <v>2200</v>
      </c>
      <c r="J128" s="3">
        <v>8800</v>
      </c>
      <c r="K128" s="3" t="s">
        <v>57</v>
      </c>
      <c r="L128" s="3" t="str">
        <f>_xlfn.XLOOKUP(K128,Employees!$A$2:$A$51,Employees!$B$2:$B$51)</f>
        <v>Ajay Singh</v>
      </c>
      <c r="M128" s="3" t="str">
        <f>_xlfn.XLOOKUP(K128,Employees!$A$2:$A$51,Employees!$E$2:$E$51)</f>
        <v>Chennai</v>
      </c>
      <c r="N128" s="3" t="s">
        <v>44</v>
      </c>
      <c r="O128" s="3" t="s">
        <v>48</v>
      </c>
      <c r="P128" s="11"/>
    </row>
    <row r="129" spans="1:16" x14ac:dyDescent="0.25">
      <c r="A129" s="3" t="s">
        <v>842</v>
      </c>
      <c r="B129" s="6">
        <v>45790</v>
      </c>
      <c r="C129" s="3" t="s">
        <v>843</v>
      </c>
      <c r="D129" s="3" t="s">
        <v>844</v>
      </c>
      <c r="E129" s="3" t="s">
        <v>126</v>
      </c>
      <c r="F129" s="3" t="s">
        <v>554</v>
      </c>
      <c r="G129" s="3" t="s">
        <v>38</v>
      </c>
      <c r="H129" s="3">
        <v>5</v>
      </c>
      <c r="I129" s="3">
        <v>300</v>
      </c>
      <c r="J129" s="3">
        <v>1500</v>
      </c>
      <c r="K129" s="3" t="s">
        <v>58</v>
      </c>
      <c r="L129" s="3" t="str">
        <f>_xlfn.XLOOKUP(K129,Employees!$A$2:$A$51,Employees!$B$2:$B$51)</f>
        <v>Meera Joshi</v>
      </c>
      <c r="M129" s="3" t="str">
        <f>_xlfn.XLOOKUP(K129,Employees!$A$2:$A$51,Employees!$E$2:$E$51)</f>
        <v>Mumbai</v>
      </c>
      <c r="N129" s="3" t="s">
        <v>44</v>
      </c>
      <c r="O129" s="3" t="s">
        <v>47</v>
      </c>
      <c r="P129" s="11"/>
    </row>
    <row r="130" spans="1:16" x14ac:dyDescent="0.25">
      <c r="A130" s="3" t="s">
        <v>845</v>
      </c>
      <c r="B130" s="6">
        <v>45791</v>
      </c>
      <c r="C130" s="3" t="s">
        <v>846</v>
      </c>
      <c r="D130" s="3" t="s">
        <v>847</v>
      </c>
      <c r="E130" s="3" t="s">
        <v>127</v>
      </c>
      <c r="F130" s="3" t="s">
        <v>557</v>
      </c>
      <c r="G130" s="3" t="s">
        <v>39</v>
      </c>
      <c r="H130" s="3">
        <v>2</v>
      </c>
      <c r="I130" s="3">
        <v>15000</v>
      </c>
      <c r="J130" s="3">
        <v>30000</v>
      </c>
      <c r="K130" s="3" t="s">
        <v>59</v>
      </c>
      <c r="L130" s="3" t="str">
        <f>_xlfn.XLOOKUP(K130,Employees!$A$2:$A$51,Employees!$B$2:$B$51)</f>
        <v>Sanjay Kumar</v>
      </c>
      <c r="M130" s="3" t="str">
        <f>_xlfn.XLOOKUP(K130,Employees!$A$2:$A$51,Employees!$E$2:$E$51)</f>
        <v>Delhi</v>
      </c>
      <c r="N130" s="3" t="s">
        <v>43</v>
      </c>
      <c r="O130" s="3" t="s">
        <v>48</v>
      </c>
      <c r="P130" s="11"/>
    </row>
    <row r="131" spans="1:16" x14ac:dyDescent="0.25">
      <c r="A131" s="3" t="s">
        <v>848</v>
      </c>
      <c r="B131" s="6">
        <v>45792</v>
      </c>
      <c r="C131" s="3" t="s">
        <v>849</v>
      </c>
      <c r="D131" s="3" t="s">
        <v>850</v>
      </c>
      <c r="E131" s="3" t="s">
        <v>128</v>
      </c>
      <c r="F131" s="3" t="s">
        <v>560</v>
      </c>
      <c r="G131" s="3" t="s">
        <v>40</v>
      </c>
      <c r="H131" s="3">
        <v>3</v>
      </c>
      <c r="I131" s="3">
        <v>1200</v>
      </c>
      <c r="J131" s="3">
        <v>3600</v>
      </c>
      <c r="K131" s="3" t="s">
        <v>60</v>
      </c>
      <c r="L131" s="3" t="str">
        <f>_xlfn.XLOOKUP(K131,Employees!$A$2:$A$51,Employees!$B$2:$B$51)</f>
        <v>Pooja Patel</v>
      </c>
      <c r="M131" s="3" t="str">
        <f>_xlfn.XLOOKUP(K131,Employees!$A$2:$A$51,Employees!$E$2:$E$51)</f>
        <v>Bangalore</v>
      </c>
      <c r="N131" s="3" t="s">
        <v>41</v>
      </c>
      <c r="O131" s="3" t="s">
        <v>47</v>
      </c>
      <c r="P131" s="11"/>
    </row>
    <row r="132" spans="1:16" x14ac:dyDescent="0.25">
      <c r="A132" s="3" t="s">
        <v>851</v>
      </c>
      <c r="B132" s="6">
        <v>45793</v>
      </c>
      <c r="C132" s="3" t="s">
        <v>852</v>
      </c>
      <c r="D132" s="3" t="s">
        <v>853</v>
      </c>
      <c r="E132" s="3" t="s">
        <v>156</v>
      </c>
      <c r="F132" s="3" t="s">
        <v>563</v>
      </c>
      <c r="G132" s="3" t="s">
        <v>36</v>
      </c>
      <c r="H132" s="3">
        <v>2</v>
      </c>
      <c r="I132" s="3">
        <v>32000</v>
      </c>
      <c r="J132" s="3">
        <v>64000</v>
      </c>
      <c r="K132" s="3" t="s">
        <v>91</v>
      </c>
      <c r="L132" s="3" t="str">
        <f>_xlfn.XLOOKUP(K132,Employees!$A$2:$A$51,Employees!$B$2:$B$51)</f>
        <v>Nithya Krishnan</v>
      </c>
      <c r="M132" s="3" t="str">
        <f>_xlfn.XLOOKUP(K132,Employees!$A$2:$A$51,Employees!$E$2:$E$51)</f>
        <v>Chennai</v>
      </c>
      <c r="N132" s="3" t="s">
        <v>41</v>
      </c>
      <c r="O132" s="3" t="s">
        <v>49</v>
      </c>
      <c r="P132" s="11"/>
    </row>
    <row r="133" spans="1:16" x14ac:dyDescent="0.25">
      <c r="A133" s="3" t="s">
        <v>854</v>
      </c>
      <c r="B133" s="6">
        <v>45794</v>
      </c>
      <c r="C133" s="3" t="s">
        <v>855</v>
      </c>
      <c r="D133" s="3" t="s">
        <v>856</v>
      </c>
      <c r="E133" s="3" t="s">
        <v>157</v>
      </c>
      <c r="F133" s="3" t="s">
        <v>566</v>
      </c>
      <c r="G133" s="3" t="s">
        <v>37</v>
      </c>
      <c r="H133" s="3">
        <v>1</v>
      </c>
      <c r="I133" s="3">
        <v>1800</v>
      </c>
      <c r="J133" s="3">
        <v>1800</v>
      </c>
      <c r="K133" s="3" t="s">
        <v>92</v>
      </c>
      <c r="L133" s="3" t="str">
        <f>_xlfn.XLOOKUP(K133,Employees!$A$2:$A$51,Employees!$B$2:$B$51)</f>
        <v>Rohit Mehta</v>
      </c>
      <c r="M133" s="3" t="str">
        <f>_xlfn.XLOOKUP(K133,Employees!$A$2:$A$51,Employees!$E$2:$E$51)</f>
        <v>Hydrabed</v>
      </c>
      <c r="N133" s="3" t="s">
        <v>43</v>
      </c>
      <c r="O133" s="3" t="s">
        <v>47</v>
      </c>
      <c r="P133" s="11"/>
    </row>
    <row r="134" spans="1:16" x14ac:dyDescent="0.25">
      <c r="A134" s="3" t="s">
        <v>857</v>
      </c>
      <c r="B134" s="6">
        <v>45795</v>
      </c>
      <c r="C134" s="3" t="s">
        <v>858</v>
      </c>
      <c r="D134" s="3" t="s">
        <v>859</v>
      </c>
      <c r="E134" s="3" t="s">
        <v>158</v>
      </c>
      <c r="F134" s="3" t="s">
        <v>569</v>
      </c>
      <c r="G134" s="3" t="s">
        <v>38</v>
      </c>
      <c r="H134" s="3">
        <v>6</v>
      </c>
      <c r="I134" s="3">
        <v>250</v>
      </c>
      <c r="J134" s="3">
        <v>1500</v>
      </c>
      <c r="K134" s="3" t="s">
        <v>93</v>
      </c>
      <c r="L134" s="3" t="str">
        <f>_xlfn.XLOOKUP(K134,Employees!$A$2:$A$51,Employees!$B$2:$B$51)</f>
        <v>Aisha Khan</v>
      </c>
      <c r="M134" s="3" t="str">
        <f>_xlfn.XLOOKUP(K134,Employees!$A$2:$A$51,Employees!$E$2:$E$51)</f>
        <v>Delhi</v>
      </c>
      <c r="N134" s="3" t="s">
        <v>42</v>
      </c>
      <c r="O134" s="3" t="s">
        <v>49</v>
      </c>
      <c r="P134" s="11"/>
    </row>
    <row r="135" spans="1:16" x14ac:dyDescent="0.25">
      <c r="A135" s="3" t="s">
        <v>860</v>
      </c>
      <c r="B135" s="6">
        <v>45796</v>
      </c>
      <c r="C135" s="3" t="s">
        <v>861</v>
      </c>
      <c r="D135" s="3" t="s">
        <v>862</v>
      </c>
      <c r="E135" s="3" t="s">
        <v>159</v>
      </c>
      <c r="F135" s="3" t="s">
        <v>572</v>
      </c>
      <c r="G135" s="3" t="s">
        <v>39</v>
      </c>
      <c r="H135" s="3">
        <v>2</v>
      </c>
      <c r="I135" s="3">
        <v>9000</v>
      </c>
      <c r="J135" s="3">
        <v>18000</v>
      </c>
      <c r="K135" s="3" t="s">
        <v>94</v>
      </c>
      <c r="L135" s="3" t="str">
        <f>_xlfn.XLOOKUP(K135,Employees!$A$2:$A$51,Employees!$B$2:$B$51)</f>
        <v>Vikram Iyer</v>
      </c>
      <c r="M135" s="3" t="str">
        <f>_xlfn.XLOOKUP(K135,Employees!$A$2:$A$51,Employees!$E$2:$E$51)</f>
        <v>Bangalore</v>
      </c>
      <c r="N135" s="3" t="s">
        <v>43</v>
      </c>
      <c r="O135" s="3" t="s">
        <v>46</v>
      </c>
      <c r="P135" s="11"/>
    </row>
    <row r="136" spans="1:16" x14ac:dyDescent="0.25">
      <c r="A136" s="3" t="s">
        <v>863</v>
      </c>
      <c r="B136" s="6">
        <v>45797</v>
      </c>
      <c r="C136" s="3" t="s">
        <v>864</v>
      </c>
      <c r="D136" s="3" t="s">
        <v>865</v>
      </c>
      <c r="E136" s="3" t="s">
        <v>160</v>
      </c>
      <c r="F136" s="3" t="s">
        <v>575</v>
      </c>
      <c r="G136" s="3" t="s">
        <v>40</v>
      </c>
      <c r="H136" s="3">
        <v>4</v>
      </c>
      <c r="I136" s="3">
        <v>600</v>
      </c>
      <c r="J136" s="3">
        <v>2400</v>
      </c>
      <c r="K136" s="3" t="s">
        <v>101</v>
      </c>
      <c r="L136" s="3" t="str">
        <f>_xlfn.XLOOKUP(K136,Employees!$A$2:$A$51,Employees!$B$2:$B$51)</f>
        <v>Neha Gupta</v>
      </c>
      <c r="M136" s="3" t="str">
        <f>_xlfn.XLOOKUP(K136,Employees!$A$2:$A$51,Employees!$E$2:$E$51)</f>
        <v>Mumbai</v>
      </c>
      <c r="N136" s="3" t="s">
        <v>42</v>
      </c>
      <c r="O136" s="3" t="s">
        <v>47</v>
      </c>
      <c r="P136" s="11"/>
    </row>
    <row r="137" spans="1:16" x14ac:dyDescent="0.25">
      <c r="A137" s="3" t="s">
        <v>866</v>
      </c>
      <c r="B137" s="6">
        <v>45798</v>
      </c>
      <c r="C137" s="3" t="s">
        <v>867</v>
      </c>
      <c r="D137" s="3" t="s">
        <v>868</v>
      </c>
      <c r="E137" s="3" t="s">
        <v>161</v>
      </c>
      <c r="F137" s="3" t="s">
        <v>578</v>
      </c>
      <c r="G137" s="3" t="s">
        <v>36</v>
      </c>
      <c r="H137" s="3">
        <v>3</v>
      </c>
      <c r="I137" s="3">
        <v>21000</v>
      </c>
      <c r="J137" s="3">
        <v>63000</v>
      </c>
      <c r="K137" s="3" t="s">
        <v>105</v>
      </c>
      <c r="L137" s="3" t="str">
        <f>_xlfn.XLOOKUP(K137,Employees!$A$2:$A$51,Employees!$B$2:$B$51)</f>
        <v>Harish Ramanan</v>
      </c>
      <c r="M137" s="3" t="str">
        <f>_xlfn.XLOOKUP(K137,Employees!$A$2:$A$51,Employees!$E$2:$E$51)</f>
        <v>Chennai</v>
      </c>
      <c r="N137" s="3" t="s">
        <v>43</v>
      </c>
      <c r="O137" s="3" t="s">
        <v>48</v>
      </c>
      <c r="P137" s="11"/>
    </row>
    <row r="138" spans="1:16" x14ac:dyDescent="0.25">
      <c r="A138" s="3" t="s">
        <v>869</v>
      </c>
      <c r="B138" s="6">
        <v>45799</v>
      </c>
      <c r="C138" s="3" t="s">
        <v>870</v>
      </c>
      <c r="D138" s="3" t="s">
        <v>871</v>
      </c>
      <c r="E138" s="3" t="s">
        <v>162</v>
      </c>
      <c r="F138" s="3" t="s">
        <v>581</v>
      </c>
      <c r="G138" s="3" t="s">
        <v>37</v>
      </c>
      <c r="H138" s="3">
        <v>2</v>
      </c>
      <c r="I138" s="3">
        <v>2500</v>
      </c>
      <c r="J138" s="3">
        <v>5000</v>
      </c>
      <c r="K138" s="3" t="s">
        <v>106</v>
      </c>
      <c r="L138" s="3" t="str">
        <f>_xlfn.XLOOKUP(K138,Employees!$A$2:$A$51,Employees!$B$2:$B$51)</f>
        <v>Lakshmi Devi</v>
      </c>
      <c r="M138" s="3" t="str">
        <f>_xlfn.XLOOKUP(K138,Employees!$A$2:$A$51,Employees!$E$2:$E$51)</f>
        <v>Bangalore</v>
      </c>
      <c r="N138" s="3" t="s">
        <v>43</v>
      </c>
      <c r="O138" s="3" t="s">
        <v>46</v>
      </c>
      <c r="P138" s="11"/>
    </row>
    <row r="139" spans="1:16" x14ac:dyDescent="0.25">
      <c r="A139" s="3" t="s">
        <v>872</v>
      </c>
      <c r="B139" s="6">
        <v>45800</v>
      </c>
      <c r="C139" s="3" t="s">
        <v>873</v>
      </c>
      <c r="D139" s="3" t="s">
        <v>874</v>
      </c>
      <c r="E139" s="3" t="s">
        <v>163</v>
      </c>
      <c r="F139" s="3" t="s">
        <v>584</v>
      </c>
      <c r="G139" s="3" t="s">
        <v>38</v>
      </c>
      <c r="H139" s="3">
        <v>8</v>
      </c>
      <c r="I139" s="3">
        <v>700</v>
      </c>
      <c r="J139" s="3">
        <v>5600</v>
      </c>
      <c r="K139" s="3" t="s">
        <v>107</v>
      </c>
      <c r="L139" s="3" t="str">
        <f>_xlfn.XLOOKUP(K139,Employees!$A$2:$A$51,Employees!$B$2:$B$51)</f>
        <v>Mohammed Ali</v>
      </c>
      <c r="M139" s="3" t="str">
        <f>_xlfn.XLOOKUP(K139,Employees!$A$2:$A$51,Employees!$E$2:$E$51)</f>
        <v>Hydrabed</v>
      </c>
      <c r="N139" s="3" t="s">
        <v>43</v>
      </c>
      <c r="O139" s="3" t="s">
        <v>49</v>
      </c>
      <c r="P139" s="11"/>
    </row>
    <row r="140" spans="1:16" x14ac:dyDescent="0.25">
      <c r="A140" s="3" t="s">
        <v>875</v>
      </c>
      <c r="B140" s="6">
        <v>45801</v>
      </c>
      <c r="C140" s="3" t="s">
        <v>876</v>
      </c>
      <c r="D140" s="3" t="s">
        <v>877</v>
      </c>
      <c r="E140" s="3" t="s">
        <v>164</v>
      </c>
      <c r="F140" s="3" t="s">
        <v>587</v>
      </c>
      <c r="G140" s="3" t="s">
        <v>39</v>
      </c>
      <c r="H140" s="3">
        <v>1</v>
      </c>
      <c r="I140" s="3">
        <v>18000</v>
      </c>
      <c r="J140" s="3">
        <v>18000</v>
      </c>
      <c r="K140" s="3" t="s">
        <v>108</v>
      </c>
      <c r="L140" s="3" t="str">
        <f>_xlfn.XLOOKUP(K140,Employees!$A$2:$A$51,Employees!$B$2:$B$51)</f>
        <v>Kavya Srinivas</v>
      </c>
      <c r="M140" s="3" t="str">
        <f>_xlfn.XLOOKUP(K140,Employees!$A$2:$A$51,Employees!$E$2:$E$51)</f>
        <v>Delhi</v>
      </c>
      <c r="N140" s="3" t="s">
        <v>41</v>
      </c>
      <c r="O140" s="3" t="s">
        <v>49</v>
      </c>
      <c r="P140" s="11"/>
    </row>
    <row r="141" spans="1:16" x14ac:dyDescent="0.25">
      <c r="A141" s="3" t="s">
        <v>878</v>
      </c>
      <c r="B141" s="6">
        <v>45802</v>
      </c>
      <c r="C141" s="3" t="s">
        <v>879</v>
      </c>
      <c r="D141" s="3" t="s">
        <v>880</v>
      </c>
      <c r="E141" s="3" t="s">
        <v>165</v>
      </c>
      <c r="F141" s="3" t="s">
        <v>590</v>
      </c>
      <c r="G141" s="3" t="s">
        <v>40</v>
      </c>
      <c r="H141" s="3">
        <v>5</v>
      </c>
      <c r="I141" s="3">
        <v>900</v>
      </c>
      <c r="J141" s="3">
        <v>4500</v>
      </c>
      <c r="K141" s="3" t="s">
        <v>109</v>
      </c>
      <c r="L141" s="3" t="str">
        <f>_xlfn.XLOOKUP(K141,Employees!$A$2:$A$51,Employees!$B$2:$B$51)</f>
        <v>Rakesh Sharma</v>
      </c>
      <c r="M141" s="3" t="str">
        <f>_xlfn.XLOOKUP(K141,Employees!$A$2:$A$51,Employees!$E$2:$E$51)</f>
        <v>Mumbai</v>
      </c>
      <c r="N141" s="3" t="s">
        <v>44</v>
      </c>
      <c r="O141" s="3" t="s">
        <v>46</v>
      </c>
      <c r="P141" s="11"/>
    </row>
    <row r="142" spans="1:16" x14ac:dyDescent="0.25">
      <c r="A142" s="3" t="s">
        <v>881</v>
      </c>
      <c r="B142" s="6">
        <v>45803</v>
      </c>
      <c r="C142" s="3" t="s">
        <v>882</v>
      </c>
      <c r="D142" s="3" t="s">
        <v>883</v>
      </c>
      <c r="E142" s="3" t="s">
        <v>166</v>
      </c>
      <c r="F142" s="3" t="s">
        <v>593</v>
      </c>
      <c r="G142" s="3" t="s">
        <v>36</v>
      </c>
      <c r="H142" s="3">
        <v>3</v>
      </c>
      <c r="I142" s="3">
        <v>15000</v>
      </c>
      <c r="J142" s="3">
        <v>45000</v>
      </c>
      <c r="K142" s="3" t="s">
        <v>51</v>
      </c>
      <c r="L142" s="3" t="str">
        <f>_xlfn.XLOOKUP(K142,Employees!$A$2:$A$51,Employees!$B$2:$B$51)</f>
        <v>Arjun Kumar</v>
      </c>
      <c r="M142" s="3" t="str">
        <f>_xlfn.XLOOKUP(K142,Employees!$A$2:$A$51,Employees!$E$2:$E$51)</f>
        <v>Chennai</v>
      </c>
      <c r="N142" s="3" t="s">
        <v>42</v>
      </c>
      <c r="O142" s="3" t="s">
        <v>47</v>
      </c>
      <c r="P142" s="11"/>
    </row>
    <row r="143" spans="1:16" x14ac:dyDescent="0.25">
      <c r="A143" s="3" t="s">
        <v>884</v>
      </c>
      <c r="B143" s="6">
        <v>45804</v>
      </c>
      <c r="C143" s="3" t="s">
        <v>885</v>
      </c>
      <c r="D143" s="3" t="s">
        <v>886</v>
      </c>
      <c r="E143" s="3" t="s">
        <v>167</v>
      </c>
      <c r="F143" s="3" t="s">
        <v>596</v>
      </c>
      <c r="G143" s="3" t="s">
        <v>37</v>
      </c>
      <c r="H143" s="3">
        <v>2</v>
      </c>
      <c r="I143" s="3">
        <v>3000</v>
      </c>
      <c r="J143" s="3">
        <v>6000</v>
      </c>
      <c r="K143" s="3" t="s">
        <v>52</v>
      </c>
      <c r="L143" s="3" t="str">
        <f>_xlfn.XLOOKUP(K143,Employees!$A$2:$A$51,Employees!$B$2:$B$51)</f>
        <v>Priya Sharma</v>
      </c>
      <c r="M143" s="3" t="str">
        <f>_xlfn.XLOOKUP(K143,Employees!$A$2:$A$51,Employees!$E$2:$E$51)</f>
        <v>Bangalore</v>
      </c>
      <c r="N143" s="3" t="s">
        <v>43</v>
      </c>
      <c r="O143" s="3" t="s">
        <v>47</v>
      </c>
      <c r="P143" s="11"/>
    </row>
    <row r="144" spans="1:16" x14ac:dyDescent="0.25">
      <c r="A144" s="3" t="s">
        <v>887</v>
      </c>
      <c r="B144" s="6">
        <v>45805</v>
      </c>
      <c r="C144" s="3" t="s">
        <v>888</v>
      </c>
      <c r="D144" s="3" t="s">
        <v>889</v>
      </c>
      <c r="E144" s="3" t="s">
        <v>168</v>
      </c>
      <c r="F144" s="3" t="s">
        <v>599</v>
      </c>
      <c r="G144" s="3" t="s">
        <v>38</v>
      </c>
      <c r="H144" s="3">
        <v>7</v>
      </c>
      <c r="I144" s="3">
        <v>400</v>
      </c>
      <c r="J144" s="3">
        <v>2800</v>
      </c>
      <c r="K144" s="3" t="s">
        <v>53</v>
      </c>
      <c r="L144" s="3" t="str">
        <f>_xlfn.XLOOKUP(K144,Employees!$A$2:$A$51,Employees!$B$2:$B$51)</f>
        <v>Rahul Verma</v>
      </c>
      <c r="M144" s="3" t="str">
        <f>_xlfn.XLOOKUP(K144,Employees!$A$2:$A$51,Employees!$E$2:$E$51)</f>
        <v>Hydrabed</v>
      </c>
      <c r="N144" s="3" t="s">
        <v>43</v>
      </c>
      <c r="O144" s="3" t="s">
        <v>46</v>
      </c>
      <c r="P144" s="11"/>
    </row>
    <row r="145" spans="1:16" x14ac:dyDescent="0.25">
      <c r="A145" s="3" t="s">
        <v>890</v>
      </c>
      <c r="B145" s="6">
        <v>45806</v>
      </c>
      <c r="C145" s="3" t="s">
        <v>891</v>
      </c>
      <c r="D145" s="3" t="s">
        <v>892</v>
      </c>
      <c r="E145" s="3" t="s">
        <v>169</v>
      </c>
      <c r="F145" s="3" t="s">
        <v>602</v>
      </c>
      <c r="G145" s="3" t="s">
        <v>39</v>
      </c>
      <c r="H145" s="3">
        <v>1</v>
      </c>
      <c r="I145" s="3">
        <v>11000</v>
      </c>
      <c r="J145" s="3">
        <v>11000</v>
      </c>
      <c r="K145" s="3" t="s">
        <v>54</v>
      </c>
      <c r="L145" s="3" t="str">
        <f>_xlfn.XLOOKUP(K145,Employees!$A$2:$A$51,Employees!$B$2:$B$51)</f>
        <v>Sneha Reddy</v>
      </c>
      <c r="M145" s="3" t="str">
        <f>_xlfn.XLOOKUP(K145,Employees!$A$2:$A$51,Employees!$E$2:$E$51)</f>
        <v>Chennai</v>
      </c>
      <c r="N145" s="3" t="s">
        <v>45</v>
      </c>
      <c r="O145" s="3" t="s">
        <v>46</v>
      </c>
      <c r="P145" s="11"/>
    </row>
    <row r="146" spans="1:16" x14ac:dyDescent="0.25">
      <c r="A146" s="3" t="s">
        <v>893</v>
      </c>
      <c r="B146" s="6">
        <v>45807</v>
      </c>
      <c r="C146" s="3" t="s">
        <v>894</v>
      </c>
      <c r="D146" s="3" t="s">
        <v>895</v>
      </c>
      <c r="E146" s="3" t="s">
        <v>170</v>
      </c>
      <c r="F146" s="3" t="s">
        <v>605</v>
      </c>
      <c r="G146" s="3" t="s">
        <v>40</v>
      </c>
      <c r="H146" s="3">
        <v>4</v>
      </c>
      <c r="I146" s="3">
        <v>750</v>
      </c>
      <c r="J146" s="3">
        <v>3000</v>
      </c>
      <c r="K146" s="3" t="s">
        <v>55</v>
      </c>
      <c r="L146" s="3" t="str">
        <f>_xlfn.XLOOKUP(K146,Employees!$A$2:$A$51,Employees!$B$2:$B$51)</f>
        <v>Karthik Raj</v>
      </c>
      <c r="M146" s="3" t="str">
        <f>_xlfn.XLOOKUP(K146,Employees!$A$2:$A$51,Employees!$E$2:$E$51)</f>
        <v>Bangalore</v>
      </c>
      <c r="N146" s="3" t="s">
        <v>42</v>
      </c>
      <c r="O146" s="3" t="s">
        <v>47</v>
      </c>
      <c r="P146" s="11"/>
    </row>
    <row r="147" spans="1:16" x14ac:dyDescent="0.25">
      <c r="A147" s="3" t="s">
        <v>896</v>
      </c>
      <c r="B147" s="6">
        <v>45808</v>
      </c>
      <c r="C147" s="3" t="s">
        <v>897</v>
      </c>
      <c r="D147" s="3" t="s">
        <v>898</v>
      </c>
      <c r="E147" s="3" t="s">
        <v>171</v>
      </c>
      <c r="F147" s="3" t="s">
        <v>608</v>
      </c>
      <c r="G147" s="3" t="s">
        <v>36</v>
      </c>
      <c r="H147" s="3">
        <v>2</v>
      </c>
      <c r="I147" s="3">
        <v>28000</v>
      </c>
      <c r="J147" s="3">
        <v>56000</v>
      </c>
      <c r="K147" s="3" t="s">
        <v>56</v>
      </c>
      <c r="L147" s="3" t="str">
        <f>_xlfn.XLOOKUP(K147,Employees!$A$2:$A$51,Employees!$B$2:$B$51)</f>
        <v xml:space="preserve">Divya Nair </v>
      </c>
      <c r="M147" s="3" t="str">
        <f>_xlfn.XLOOKUP(K147,Employees!$A$2:$A$51,Employees!$E$2:$E$51)</f>
        <v>Hydrabed</v>
      </c>
      <c r="N147" s="3" t="s">
        <v>42</v>
      </c>
      <c r="O147" s="3" t="s">
        <v>49</v>
      </c>
      <c r="P147" s="11"/>
    </row>
    <row r="148" spans="1:16" x14ac:dyDescent="0.25">
      <c r="A148" s="3" t="s">
        <v>899</v>
      </c>
      <c r="B148" s="6">
        <v>45809</v>
      </c>
      <c r="C148" s="3" t="s">
        <v>900</v>
      </c>
      <c r="D148" s="3" t="s">
        <v>901</v>
      </c>
      <c r="E148" s="3" t="s">
        <v>172</v>
      </c>
      <c r="F148" s="3" t="s">
        <v>611</v>
      </c>
      <c r="G148" s="3" t="s">
        <v>37</v>
      </c>
      <c r="H148" s="3">
        <v>5</v>
      </c>
      <c r="I148" s="3">
        <v>1200</v>
      </c>
      <c r="J148" s="3">
        <v>6000</v>
      </c>
      <c r="K148" s="3" t="s">
        <v>57</v>
      </c>
      <c r="L148" s="3" t="str">
        <f>_xlfn.XLOOKUP(K148,Employees!$A$2:$A$51,Employees!$B$2:$B$51)</f>
        <v>Ajay Singh</v>
      </c>
      <c r="M148" s="3" t="str">
        <f>_xlfn.XLOOKUP(K148,Employees!$A$2:$A$51,Employees!$E$2:$E$51)</f>
        <v>Chennai</v>
      </c>
      <c r="N148" s="3" t="s">
        <v>41</v>
      </c>
      <c r="O148" s="3" t="s">
        <v>47</v>
      </c>
      <c r="P148" s="11"/>
    </row>
    <row r="149" spans="1:16" x14ac:dyDescent="0.25">
      <c r="A149" s="3" t="s">
        <v>902</v>
      </c>
      <c r="B149" s="6">
        <v>45810</v>
      </c>
      <c r="C149" s="3" t="s">
        <v>903</v>
      </c>
      <c r="D149" s="3" t="s">
        <v>904</v>
      </c>
      <c r="E149" s="3" t="s">
        <v>173</v>
      </c>
      <c r="F149" s="3" t="s">
        <v>614</v>
      </c>
      <c r="G149" s="3" t="s">
        <v>38</v>
      </c>
      <c r="H149" s="3">
        <v>3</v>
      </c>
      <c r="I149" s="3">
        <v>900</v>
      </c>
      <c r="J149" s="3">
        <v>2700</v>
      </c>
      <c r="K149" s="3" t="s">
        <v>58</v>
      </c>
      <c r="L149" s="3" t="str">
        <f>_xlfn.XLOOKUP(K149,Employees!$A$2:$A$51,Employees!$B$2:$B$51)</f>
        <v>Meera Joshi</v>
      </c>
      <c r="M149" s="3" t="str">
        <f>_xlfn.XLOOKUP(K149,Employees!$A$2:$A$51,Employees!$E$2:$E$51)</f>
        <v>Mumbai</v>
      </c>
      <c r="N149" s="3" t="s">
        <v>41</v>
      </c>
      <c r="O149" s="3" t="s">
        <v>48</v>
      </c>
      <c r="P149" s="11"/>
    </row>
    <row r="150" spans="1:16" x14ac:dyDescent="0.25">
      <c r="A150" s="3" t="s">
        <v>905</v>
      </c>
      <c r="B150" s="6">
        <v>45811</v>
      </c>
      <c r="C150" s="3" t="s">
        <v>906</v>
      </c>
      <c r="D150" s="3" t="s">
        <v>907</v>
      </c>
      <c r="E150" s="3" t="s">
        <v>174</v>
      </c>
      <c r="F150" s="3" t="s">
        <v>617</v>
      </c>
      <c r="G150" s="3" t="s">
        <v>39</v>
      </c>
      <c r="H150" s="3">
        <v>2</v>
      </c>
      <c r="I150" s="3">
        <v>13000</v>
      </c>
      <c r="J150" s="3">
        <v>26000</v>
      </c>
      <c r="K150" s="3" t="s">
        <v>59</v>
      </c>
      <c r="L150" s="3" t="str">
        <f>_xlfn.XLOOKUP(K150,Employees!$A$2:$A$51,Employees!$B$2:$B$51)</f>
        <v>Sanjay Kumar</v>
      </c>
      <c r="M150" s="3" t="str">
        <f>_xlfn.XLOOKUP(K150,Employees!$A$2:$A$51,Employees!$E$2:$E$51)</f>
        <v>Delhi</v>
      </c>
      <c r="N150" s="3" t="s">
        <v>42</v>
      </c>
      <c r="O150" s="3" t="s">
        <v>48</v>
      </c>
      <c r="P150" s="11"/>
    </row>
    <row r="151" spans="1:16" x14ac:dyDescent="0.25">
      <c r="A151" s="3" t="s">
        <v>908</v>
      </c>
      <c r="B151" s="6">
        <v>45812</v>
      </c>
      <c r="C151" s="3" t="s">
        <v>909</v>
      </c>
      <c r="D151" s="3" t="s">
        <v>910</v>
      </c>
      <c r="E151" s="3" t="s">
        <v>175</v>
      </c>
      <c r="F151" s="3" t="s">
        <v>620</v>
      </c>
      <c r="G151" s="3" t="s">
        <v>40</v>
      </c>
      <c r="H151" s="3">
        <v>6</v>
      </c>
      <c r="I151" s="3">
        <v>500</v>
      </c>
      <c r="J151" s="3">
        <v>3000</v>
      </c>
      <c r="K151" s="3" t="s">
        <v>60</v>
      </c>
      <c r="L151" s="3" t="str">
        <f>_xlfn.XLOOKUP(K151,Employees!$A$2:$A$51,Employees!$B$2:$B$51)</f>
        <v>Pooja Patel</v>
      </c>
      <c r="M151" s="3" t="str">
        <f>_xlfn.XLOOKUP(K151,Employees!$A$2:$A$51,Employees!$E$2:$E$51)</f>
        <v>Bangalore</v>
      </c>
      <c r="N151" s="3" t="s">
        <v>42</v>
      </c>
      <c r="O151" s="3" t="s">
        <v>49</v>
      </c>
      <c r="P151" s="11"/>
    </row>
    <row r="152" spans="1:16" x14ac:dyDescent="0.25">
      <c r="A152" s="3" t="s">
        <v>911</v>
      </c>
      <c r="B152" s="6">
        <v>45813</v>
      </c>
      <c r="C152" s="3" t="s">
        <v>912</v>
      </c>
      <c r="D152" s="3" t="s">
        <v>913</v>
      </c>
      <c r="E152" s="3" t="s">
        <v>156</v>
      </c>
      <c r="F152" s="3" t="s">
        <v>563</v>
      </c>
      <c r="G152" s="3" t="s">
        <v>36</v>
      </c>
      <c r="H152" s="3">
        <v>2</v>
      </c>
      <c r="I152" s="3">
        <v>32000</v>
      </c>
      <c r="J152" s="3">
        <v>64000</v>
      </c>
      <c r="K152" s="3" t="s">
        <v>91</v>
      </c>
      <c r="L152" s="3" t="str">
        <f>_xlfn.XLOOKUP(K152,Employees!$A$2:$A$51,Employees!$B$2:$B$51)</f>
        <v>Nithya Krishnan</v>
      </c>
      <c r="M152" s="3" t="str">
        <f>_xlfn.XLOOKUP(K152,Employees!$A$2:$A$51,Employees!$E$2:$E$51)</f>
        <v>Chennai</v>
      </c>
      <c r="N152" s="3" t="s">
        <v>42</v>
      </c>
      <c r="O152" s="3" t="s">
        <v>48</v>
      </c>
      <c r="P152" s="11"/>
    </row>
    <row r="153" spans="1:16" x14ac:dyDescent="0.25">
      <c r="A153" s="3" t="s">
        <v>914</v>
      </c>
      <c r="B153" s="6">
        <v>45814</v>
      </c>
      <c r="C153" s="3" t="s">
        <v>915</v>
      </c>
      <c r="D153" s="3" t="s">
        <v>916</v>
      </c>
      <c r="E153" s="3" t="s">
        <v>157</v>
      </c>
      <c r="F153" s="3" t="s">
        <v>566</v>
      </c>
      <c r="G153" s="3" t="s">
        <v>37</v>
      </c>
      <c r="H153" s="3">
        <v>1</v>
      </c>
      <c r="I153" s="3">
        <v>1800</v>
      </c>
      <c r="J153" s="3">
        <v>1800</v>
      </c>
      <c r="K153" s="3" t="s">
        <v>92</v>
      </c>
      <c r="L153" s="3" t="str">
        <f>_xlfn.XLOOKUP(K153,Employees!$A$2:$A$51,Employees!$B$2:$B$51)</f>
        <v>Rohit Mehta</v>
      </c>
      <c r="M153" s="3" t="str">
        <f>_xlfn.XLOOKUP(K153,Employees!$A$2:$A$51,Employees!$E$2:$E$51)</f>
        <v>Hydrabed</v>
      </c>
      <c r="N153" s="3" t="s">
        <v>45</v>
      </c>
      <c r="O153" s="3" t="s">
        <v>48</v>
      </c>
      <c r="P153" s="11"/>
    </row>
    <row r="154" spans="1:16" x14ac:dyDescent="0.25">
      <c r="A154" s="3" t="s">
        <v>917</v>
      </c>
      <c r="B154" s="6">
        <v>45815</v>
      </c>
      <c r="C154" s="3" t="s">
        <v>918</v>
      </c>
      <c r="D154" s="3" t="s">
        <v>919</v>
      </c>
      <c r="E154" s="3" t="s">
        <v>158</v>
      </c>
      <c r="F154" s="3" t="s">
        <v>569</v>
      </c>
      <c r="G154" s="3" t="s">
        <v>38</v>
      </c>
      <c r="H154" s="3">
        <v>6</v>
      </c>
      <c r="I154" s="3">
        <v>250</v>
      </c>
      <c r="J154" s="3">
        <v>1500</v>
      </c>
      <c r="K154" s="3" t="s">
        <v>93</v>
      </c>
      <c r="L154" s="3" t="str">
        <f>_xlfn.XLOOKUP(K154,Employees!$A$2:$A$51,Employees!$B$2:$B$51)</f>
        <v>Aisha Khan</v>
      </c>
      <c r="M154" s="3" t="str">
        <f>_xlfn.XLOOKUP(K154,Employees!$A$2:$A$51,Employees!$E$2:$E$51)</f>
        <v>Delhi</v>
      </c>
      <c r="N154" s="3" t="s">
        <v>42</v>
      </c>
      <c r="O154" s="3" t="s">
        <v>49</v>
      </c>
      <c r="P154" s="11"/>
    </row>
    <row r="155" spans="1:16" x14ac:dyDescent="0.25">
      <c r="A155" s="3" t="s">
        <v>920</v>
      </c>
      <c r="B155" s="6">
        <v>45816</v>
      </c>
      <c r="C155" s="3" t="s">
        <v>921</v>
      </c>
      <c r="D155" s="3" t="s">
        <v>922</v>
      </c>
      <c r="E155" s="3" t="s">
        <v>159</v>
      </c>
      <c r="F155" s="3" t="s">
        <v>572</v>
      </c>
      <c r="G155" s="3" t="s">
        <v>39</v>
      </c>
      <c r="H155" s="3">
        <v>2</v>
      </c>
      <c r="I155" s="3">
        <v>9000</v>
      </c>
      <c r="J155" s="3">
        <v>18000</v>
      </c>
      <c r="K155" s="3" t="s">
        <v>94</v>
      </c>
      <c r="L155" s="3" t="str">
        <f>_xlfn.XLOOKUP(K155,Employees!$A$2:$A$51,Employees!$B$2:$B$51)</f>
        <v>Vikram Iyer</v>
      </c>
      <c r="M155" s="3" t="str">
        <f>_xlfn.XLOOKUP(K155,Employees!$A$2:$A$51,Employees!$E$2:$E$51)</f>
        <v>Bangalore</v>
      </c>
      <c r="N155" s="3" t="s">
        <v>45</v>
      </c>
      <c r="O155" s="3" t="s">
        <v>46</v>
      </c>
      <c r="P155" s="11"/>
    </row>
    <row r="156" spans="1:16" x14ac:dyDescent="0.25">
      <c r="A156" s="3" t="s">
        <v>923</v>
      </c>
      <c r="B156" s="6">
        <v>45817</v>
      </c>
      <c r="C156" s="3" t="s">
        <v>924</v>
      </c>
      <c r="D156" s="3" t="s">
        <v>925</v>
      </c>
      <c r="E156" s="3" t="s">
        <v>160</v>
      </c>
      <c r="F156" s="3" t="s">
        <v>575</v>
      </c>
      <c r="G156" s="3" t="s">
        <v>40</v>
      </c>
      <c r="H156" s="3">
        <v>4</v>
      </c>
      <c r="I156" s="3">
        <v>600</v>
      </c>
      <c r="J156" s="3">
        <v>2400</v>
      </c>
      <c r="K156" s="3" t="s">
        <v>101</v>
      </c>
      <c r="L156" s="3" t="str">
        <f>_xlfn.XLOOKUP(K156,Employees!$A$2:$A$51,Employees!$B$2:$B$51)</f>
        <v>Neha Gupta</v>
      </c>
      <c r="M156" s="3" t="str">
        <f>_xlfn.XLOOKUP(K156,Employees!$A$2:$A$51,Employees!$E$2:$E$51)</f>
        <v>Mumbai</v>
      </c>
      <c r="N156" s="3" t="s">
        <v>45</v>
      </c>
      <c r="O156" s="3" t="s">
        <v>47</v>
      </c>
      <c r="P156" s="11"/>
    </row>
    <row r="157" spans="1:16" x14ac:dyDescent="0.25">
      <c r="A157" s="3" t="s">
        <v>926</v>
      </c>
      <c r="B157" s="6">
        <v>45818</v>
      </c>
      <c r="C157" s="3" t="s">
        <v>927</v>
      </c>
      <c r="D157" s="3" t="s">
        <v>928</v>
      </c>
      <c r="E157" s="3" t="s">
        <v>161</v>
      </c>
      <c r="F157" s="3" t="s">
        <v>578</v>
      </c>
      <c r="G157" s="3" t="s">
        <v>36</v>
      </c>
      <c r="H157" s="3">
        <v>3</v>
      </c>
      <c r="I157" s="3">
        <v>21000</v>
      </c>
      <c r="J157" s="3">
        <v>63000</v>
      </c>
      <c r="K157" s="3" t="s">
        <v>105</v>
      </c>
      <c r="L157" s="3" t="str">
        <f>_xlfn.XLOOKUP(K157,Employees!$A$2:$A$51,Employees!$B$2:$B$51)</f>
        <v>Harish Ramanan</v>
      </c>
      <c r="M157" s="3" t="str">
        <f>_xlfn.XLOOKUP(K157,Employees!$A$2:$A$51,Employees!$E$2:$E$51)</f>
        <v>Chennai</v>
      </c>
      <c r="N157" s="3" t="s">
        <v>43</v>
      </c>
      <c r="O157" s="3" t="s">
        <v>46</v>
      </c>
      <c r="P157" s="11"/>
    </row>
    <row r="158" spans="1:16" x14ac:dyDescent="0.25">
      <c r="A158" s="3" t="s">
        <v>929</v>
      </c>
      <c r="B158" s="6">
        <v>45819</v>
      </c>
      <c r="C158" s="3" t="s">
        <v>930</v>
      </c>
      <c r="D158" s="3" t="s">
        <v>931</v>
      </c>
      <c r="E158" s="3" t="s">
        <v>162</v>
      </c>
      <c r="F158" s="3" t="s">
        <v>581</v>
      </c>
      <c r="G158" s="3" t="s">
        <v>37</v>
      </c>
      <c r="H158" s="3">
        <v>2</v>
      </c>
      <c r="I158" s="3">
        <v>2500</v>
      </c>
      <c r="J158" s="3">
        <v>5000</v>
      </c>
      <c r="K158" s="3" t="s">
        <v>106</v>
      </c>
      <c r="L158" s="3" t="str">
        <f>_xlfn.XLOOKUP(K158,Employees!$A$2:$A$51,Employees!$B$2:$B$51)</f>
        <v>Lakshmi Devi</v>
      </c>
      <c r="M158" s="3" t="str">
        <f>_xlfn.XLOOKUP(K158,Employees!$A$2:$A$51,Employees!$E$2:$E$51)</f>
        <v>Bangalore</v>
      </c>
      <c r="N158" s="3" t="s">
        <v>45</v>
      </c>
      <c r="O158" s="3" t="s">
        <v>47</v>
      </c>
      <c r="P158" s="11"/>
    </row>
    <row r="159" spans="1:16" x14ac:dyDescent="0.25">
      <c r="A159" s="3" t="s">
        <v>932</v>
      </c>
      <c r="B159" s="6">
        <v>45820</v>
      </c>
      <c r="C159" s="3" t="s">
        <v>933</v>
      </c>
      <c r="D159" s="3" t="s">
        <v>934</v>
      </c>
      <c r="E159" s="3" t="s">
        <v>163</v>
      </c>
      <c r="F159" s="3" t="s">
        <v>584</v>
      </c>
      <c r="G159" s="3" t="s">
        <v>38</v>
      </c>
      <c r="H159" s="3">
        <v>8</v>
      </c>
      <c r="I159" s="3">
        <v>700</v>
      </c>
      <c r="J159" s="3">
        <v>5600</v>
      </c>
      <c r="K159" s="3" t="s">
        <v>107</v>
      </c>
      <c r="L159" s="3" t="str">
        <f>_xlfn.XLOOKUP(K159,Employees!$A$2:$A$51,Employees!$B$2:$B$51)</f>
        <v>Mohammed Ali</v>
      </c>
      <c r="M159" s="3" t="str">
        <f>_xlfn.XLOOKUP(K159,Employees!$A$2:$A$51,Employees!$E$2:$E$51)</f>
        <v>Hydrabed</v>
      </c>
      <c r="N159" s="3" t="s">
        <v>42</v>
      </c>
      <c r="O159" s="3" t="s">
        <v>47</v>
      </c>
      <c r="P159" s="11"/>
    </row>
    <row r="160" spans="1:16" x14ac:dyDescent="0.25">
      <c r="A160" s="3" t="s">
        <v>935</v>
      </c>
      <c r="B160" s="6">
        <v>45821</v>
      </c>
      <c r="C160" s="3" t="s">
        <v>936</v>
      </c>
      <c r="D160" s="3" t="s">
        <v>937</v>
      </c>
      <c r="E160" s="3" t="s">
        <v>164</v>
      </c>
      <c r="F160" s="3" t="s">
        <v>587</v>
      </c>
      <c r="G160" s="3" t="s">
        <v>39</v>
      </c>
      <c r="H160" s="3">
        <v>1</v>
      </c>
      <c r="I160" s="3">
        <v>18000</v>
      </c>
      <c r="J160" s="3">
        <v>18000</v>
      </c>
      <c r="K160" s="3" t="s">
        <v>108</v>
      </c>
      <c r="L160" s="3" t="str">
        <f>_xlfn.XLOOKUP(K160,Employees!$A$2:$A$51,Employees!$B$2:$B$51)</f>
        <v>Kavya Srinivas</v>
      </c>
      <c r="M160" s="3" t="str">
        <f>_xlfn.XLOOKUP(K160,Employees!$A$2:$A$51,Employees!$E$2:$E$51)</f>
        <v>Delhi</v>
      </c>
      <c r="N160" s="3" t="s">
        <v>42</v>
      </c>
      <c r="O160" s="3" t="s">
        <v>47</v>
      </c>
      <c r="P160" s="11"/>
    </row>
    <row r="161" spans="1:16" x14ac:dyDescent="0.25">
      <c r="A161" s="3" t="s">
        <v>938</v>
      </c>
      <c r="B161" s="6">
        <v>45822</v>
      </c>
      <c r="C161" s="3" t="s">
        <v>939</v>
      </c>
      <c r="D161" s="3" t="s">
        <v>940</v>
      </c>
      <c r="E161" s="3" t="s">
        <v>165</v>
      </c>
      <c r="F161" s="3" t="s">
        <v>590</v>
      </c>
      <c r="G161" s="3" t="s">
        <v>40</v>
      </c>
      <c r="H161" s="3">
        <v>5</v>
      </c>
      <c r="I161" s="3">
        <v>900</v>
      </c>
      <c r="J161" s="3">
        <v>4500</v>
      </c>
      <c r="K161" s="3" t="s">
        <v>109</v>
      </c>
      <c r="L161" s="3" t="str">
        <f>_xlfn.XLOOKUP(K161,Employees!$A$2:$A$51,Employees!$B$2:$B$51)</f>
        <v>Rakesh Sharma</v>
      </c>
      <c r="M161" s="3" t="str">
        <f>_xlfn.XLOOKUP(K161,Employees!$A$2:$A$51,Employees!$E$2:$E$51)</f>
        <v>Mumbai</v>
      </c>
      <c r="N161" s="3" t="s">
        <v>42</v>
      </c>
      <c r="O161" s="3" t="s">
        <v>46</v>
      </c>
      <c r="P161" s="11"/>
    </row>
    <row r="162" spans="1:16" x14ac:dyDescent="0.25">
      <c r="A162" s="3" t="s">
        <v>941</v>
      </c>
      <c r="B162" s="6">
        <v>45823</v>
      </c>
      <c r="C162" s="3" t="s">
        <v>942</v>
      </c>
      <c r="D162" s="3" t="s">
        <v>943</v>
      </c>
      <c r="E162" s="3" t="s">
        <v>166</v>
      </c>
      <c r="F162" s="3" t="s">
        <v>593</v>
      </c>
      <c r="G162" s="3" t="s">
        <v>36</v>
      </c>
      <c r="H162" s="3">
        <v>3</v>
      </c>
      <c r="I162" s="3">
        <v>15000</v>
      </c>
      <c r="J162" s="3">
        <v>45000</v>
      </c>
      <c r="K162" s="3" t="s">
        <v>51</v>
      </c>
      <c r="L162" s="3" t="str">
        <f>_xlfn.XLOOKUP(K162,Employees!$A$2:$A$51,Employees!$B$2:$B$51)</f>
        <v>Arjun Kumar</v>
      </c>
      <c r="M162" s="3" t="str">
        <f>_xlfn.XLOOKUP(K162,Employees!$A$2:$A$51,Employees!$E$2:$E$51)</f>
        <v>Chennai</v>
      </c>
      <c r="N162" s="3" t="s">
        <v>45</v>
      </c>
      <c r="O162" s="3" t="s">
        <v>49</v>
      </c>
      <c r="P162" s="11"/>
    </row>
    <row r="163" spans="1:16" x14ac:dyDescent="0.25">
      <c r="A163" s="3" t="s">
        <v>944</v>
      </c>
      <c r="B163" s="6">
        <v>45824</v>
      </c>
      <c r="C163" s="3" t="s">
        <v>945</v>
      </c>
      <c r="D163" s="3" t="s">
        <v>946</v>
      </c>
      <c r="E163" s="3" t="s">
        <v>167</v>
      </c>
      <c r="F163" s="3" t="s">
        <v>596</v>
      </c>
      <c r="G163" s="3" t="s">
        <v>37</v>
      </c>
      <c r="H163" s="3">
        <v>2</v>
      </c>
      <c r="I163" s="3">
        <v>3000</v>
      </c>
      <c r="J163" s="3">
        <v>6000</v>
      </c>
      <c r="K163" s="3" t="s">
        <v>52</v>
      </c>
      <c r="L163" s="3" t="str">
        <f>_xlfn.XLOOKUP(K163,Employees!$A$2:$A$51,Employees!$B$2:$B$51)</f>
        <v>Priya Sharma</v>
      </c>
      <c r="M163" s="3" t="str">
        <f>_xlfn.XLOOKUP(K163,Employees!$A$2:$A$51,Employees!$E$2:$E$51)</f>
        <v>Bangalore</v>
      </c>
      <c r="N163" s="3" t="s">
        <v>43</v>
      </c>
      <c r="O163" s="3" t="s">
        <v>47</v>
      </c>
      <c r="P163" s="11"/>
    </row>
    <row r="164" spans="1:16" x14ac:dyDescent="0.25">
      <c r="A164" s="3" t="s">
        <v>947</v>
      </c>
      <c r="B164" s="6">
        <v>45825</v>
      </c>
      <c r="C164" s="3" t="s">
        <v>948</v>
      </c>
      <c r="D164" s="3" t="s">
        <v>949</v>
      </c>
      <c r="E164" s="3" t="s">
        <v>168</v>
      </c>
      <c r="F164" s="3" t="s">
        <v>599</v>
      </c>
      <c r="G164" s="3" t="s">
        <v>38</v>
      </c>
      <c r="H164" s="3">
        <v>7</v>
      </c>
      <c r="I164" s="3">
        <v>400</v>
      </c>
      <c r="J164" s="3">
        <v>2800</v>
      </c>
      <c r="K164" s="3" t="s">
        <v>53</v>
      </c>
      <c r="L164" s="3" t="str">
        <f>_xlfn.XLOOKUP(K164,Employees!$A$2:$A$51,Employees!$B$2:$B$51)</f>
        <v>Rahul Verma</v>
      </c>
      <c r="M164" s="3" t="str">
        <f>_xlfn.XLOOKUP(K164,Employees!$A$2:$A$51,Employees!$E$2:$E$51)</f>
        <v>Hydrabed</v>
      </c>
      <c r="N164" s="3" t="s">
        <v>42</v>
      </c>
      <c r="O164" s="3" t="s">
        <v>46</v>
      </c>
      <c r="P164" s="11"/>
    </row>
    <row r="165" spans="1:16" x14ac:dyDescent="0.25">
      <c r="A165" s="3" t="s">
        <v>950</v>
      </c>
      <c r="B165" s="6">
        <v>45826</v>
      </c>
      <c r="C165" s="3" t="s">
        <v>951</v>
      </c>
      <c r="D165" s="3" t="s">
        <v>952</v>
      </c>
      <c r="E165" s="3" t="s">
        <v>169</v>
      </c>
      <c r="F165" s="3" t="s">
        <v>602</v>
      </c>
      <c r="G165" s="3" t="s">
        <v>39</v>
      </c>
      <c r="H165" s="3">
        <v>1</v>
      </c>
      <c r="I165" s="3">
        <v>11000</v>
      </c>
      <c r="J165" s="3">
        <v>11000</v>
      </c>
      <c r="K165" s="3" t="s">
        <v>54</v>
      </c>
      <c r="L165" s="3" t="str">
        <f>_xlfn.XLOOKUP(K165,Employees!$A$2:$A$51,Employees!$B$2:$B$51)</f>
        <v>Sneha Reddy</v>
      </c>
      <c r="M165" s="3" t="str">
        <f>_xlfn.XLOOKUP(K165,Employees!$A$2:$A$51,Employees!$E$2:$E$51)</f>
        <v>Chennai</v>
      </c>
      <c r="N165" s="3" t="s">
        <v>44</v>
      </c>
      <c r="O165" s="3" t="s">
        <v>49</v>
      </c>
      <c r="P165" s="11"/>
    </row>
    <row r="166" spans="1:16" x14ac:dyDescent="0.25">
      <c r="A166" s="3" t="s">
        <v>953</v>
      </c>
      <c r="B166" s="6">
        <v>45827</v>
      </c>
      <c r="C166" s="3" t="s">
        <v>954</v>
      </c>
      <c r="D166" s="3" t="s">
        <v>955</v>
      </c>
      <c r="E166" s="3" t="s">
        <v>170</v>
      </c>
      <c r="F166" s="3" t="s">
        <v>605</v>
      </c>
      <c r="G166" s="3" t="s">
        <v>40</v>
      </c>
      <c r="H166" s="3">
        <v>4</v>
      </c>
      <c r="I166" s="3">
        <v>750</v>
      </c>
      <c r="J166" s="3">
        <v>3000</v>
      </c>
      <c r="K166" s="3" t="s">
        <v>55</v>
      </c>
      <c r="L166" s="3" t="str">
        <f>_xlfn.XLOOKUP(K166,Employees!$A$2:$A$51,Employees!$B$2:$B$51)</f>
        <v>Karthik Raj</v>
      </c>
      <c r="M166" s="3" t="str">
        <f>_xlfn.XLOOKUP(K166,Employees!$A$2:$A$51,Employees!$E$2:$E$51)</f>
        <v>Bangalore</v>
      </c>
      <c r="N166" s="3" t="s">
        <v>42</v>
      </c>
      <c r="O166" s="3" t="s">
        <v>48</v>
      </c>
      <c r="P166" s="11"/>
    </row>
    <row r="167" spans="1:16" x14ac:dyDescent="0.25">
      <c r="A167" s="3" t="s">
        <v>956</v>
      </c>
      <c r="B167" s="6">
        <v>45828</v>
      </c>
      <c r="C167" s="3" t="s">
        <v>957</v>
      </c>
      <c r="D167" s="3" t="s">
        <v>958</v>
      </c>
      <c r="E167" s="3" t="s">
        <v>171</v>
      </c>
      <c r="F167" s="3" t="s">
        <v>608</v>
      </c>
      <c r="G167" s="3" t="s">
        <v>36</v>
      </c>
      <c r="H167" s="3">
        <v>2</v>
      </c>
      <c r="I167" s="3">
        <v>28000</v>
      </c>
      <c r="J167" s="3">
        <v>56000</v>
      </c>
      <c r="K167" s="3" t="s">
        <v>56</v>
      </c>
      <c r="L167" s="3" t="str">
        <f>_xlfn.XLOOKUP(K167,Employees!$A$2:$A$51,Employees!$B$2:$B$51)</f>
        <v xml:space="preserve">Divya Nair </v>
      </c>
      <c r="M167" s="3" t="str">
        <f>_xlfn.XLOOKUP(K167,Employees!$A$2:$A$51,Employees!$E$2:$E$51)</f>
        <v>Hydrabed</v>
      </c>
      <c r="N167" s="3" t="s">
        <v>43</v>
      </c>
      <c r="O167" s="3" t="s">
        <v>49</v>
      </c>
      <c r="P167" s="11"/>
    </row>
    <row r="168" spans="1:16" x14ac:dyDescent="0.25">
      <c r="A168" s="3" t="s">
        <v>959</v>
      </c>
      <c r="B168" s="6">
        <v>45829</v>
      </c>
      <c r="C168" s="3" t="s">
        <v>960</v>
      </c>
      <c r="D168" s="3" t="s">
        <v>961</v>
      </c>
      <c r="E168" s="3" t="s">
        <v>172</v>
      </c>
      <c r="F168" s="3" t="s">
        <v>611</v>
      </c>
      <c r="G168" s="3" t="s">
        <v>37</v>
      </c>
      <c r="H168" s="3">
        <v>5</v>
      </c>
      <c r="I168" s="3">
        <v>1200</v>
      </c>
      <c r="J168" s="3">
        <v>6000</v>
      </c>
      <c r="K168" s="3" t="s">
        <v>57</v>
      </c>
      <c r="L168" s="3" t="str">
        <f>_xlfn.XLOOKUP(K168,Employees!$A$2:$A$51,Employees!$B$2:$B$51)</f>
        <v>Ajay Singh</v>
      </c>
      <c r="M168" s="3" t="str">
        <f>_xlfn.XLOOKUP(K168,Employees!$A$2:$A$51,Employees!$E$2:$E$51)</f>
        <v>Chennai</v>
      </c>
      <c r="N168" s="3" t="s">
        <v>43</v>
      </c>
      <c r="O168" s="3" t="s">
        <v>46</v>
      </c>
      <c r="P168" s="11"/>
    </row>
    <row r="169" spans="1:16" x14ac:dyDescent="0.25">
      <c r="A169" s="3" t="s">
        <v>962</v>
      </c>
      <c r="B169" s="6">
        <v>45830</v>
      </c>
      <c r="C169" s="3" t="s">
        <v>963</v>
      </c>
      <c r="D169" s="3" t="s">
        <v>964</v>
      </c>
      <c r="E169" s="3" t="s">
        <v>173</v>
      </c>
      <c r="F169" s="3" t="s">
        <v>614</v>
      </c>
      <c r="G169" s="3" t="s">
        <v>38</v>
      </c>
      <c r="H169" s="3">
        <v>3</v>
      </c>
      <c r="I169" s="3">
        <v>900</v>
      </c>
      <c r="J169" s="3">
        <v>2700</v>
      </c>
      <c r="K169" s="3" t="s">
        <v>58</v>
      </c>
      <c r="L169" s="3" t="str">
        <f>_xlfn.XLOOKUP(K169,Employees!$A$2:$A$51,Employees!$B$2:$B$51)</f>
        <v>Meera Joshi</v>
      </c>
      <c r="M169" s="3" t="str">
        <f>_xlfn.XLOOKUP(K169,Employees!$A$2:$A$51,Employees!$E$2:$E$51)</f>
        <v>Mumbai</v>
      </c>
      <c r="N169" s="3" t="s">
        <v>44</v>
      </c>
      <c r="O169" s="3" t="s">
        <v>46</v>
      </c>
      <c r="P169" s="11"/>
    </row>
    <row r="170" spans="1:16" x14ac:dyDescent="0.25">
      <c r="A170" s="3" t="s">
        <v>965</v>
      </c>
      <c r="B170" s="6">
        <v>45831</v>
      </c>
      <c r="C170" s="3" t="s">
        <v>966</v>
      </c>
      <c r="D170" s="3" t="s">
        <v>967</v>
      </c>
      <c r="E170" s="3" t="s">
        <v>174</v>
      </c>
      <c r="F170" s="3" t="s">
        <v>617</v>
      </c>
      <c r="G170" s="3" t="s">
        <v>39</v>
      </c>
      <c r="H170" s="3">
        <v>2</v>
      </c>
      <c r="I170" s="3">
        <v>13000</v>
      </c>
      <c r="J170" s="3">
        <v>26000</v>
      </c>
      <c r="K170" s="3" t="s">
        <v>59</v>
      </c>
      <c r="L170" s="3" t="str">
        <f>_xlfn.XLOOKUP(K170,Employees!$A$2:$A$51,Employees!$B$2:$B$51)</f>
        <v>Sanjay Kumar</v>
      </c>
      <c r="M170" s="3" t="str">
        <f>_xlfn.XLOOKUP(K170,Employees!$A$2:$A$51,Employees!$E$2:$E$51)</f>
        <v>Delhi</v>
      </c>
      <c r="N170" s="3" t="s">
        <v>44</v>
      </c>
      <c r="O170" s="3" t="s">
        <v>49</v>
      </c>
      <c r="P170" s="11"/>
    </row>
    <row r="171" spans="1:16" x14ac:dyDescent="0.25">
      <c r="A171" s="3" t="s">
        <v>968</v>
      </c>
      <c r="B171" s="6">
        <v>45832</v>
      </c>
      <c r="C171" s="3" t="s">
        <v>969</v>
      </c>
      <c r="D171" s="3" t="s">
        <v>970</v>
      </c>
      <c r="E171" s="3" t="s">
        <v>175</v>
      </c>
      <c r="F171" s="3" t="s">
        <v>620</v>
      </c>
      <c r="G171" s="3" t="s">
        <v>40</v>
      </c>
      <c r="H171" s="3">
        <v>6</v>
      </c>
      <c r="I171" s="3">
        <v>500</v>
      </c>
      <c r="J171" s="3">
        <v>3000</v>
      </c>
      <c r="K171" s="3" t="s">
        <v>60</v>
      </c>
      <c r="L171" s="3" t="str">
        <f>_xlfn.XLOOKUP(K171,Employees!$A$2:$A$51,Employees!$B$2:$B$51)</f>
        <v>Pooja Patel</v>
      </c>
      <c r="M171" s="3" t="str">
        <f>_xlfn.XLOOKUP(K171,Employees!$A$2:$A$51,Employees!$E$2:$E$51)</f>
        <v>Bangalore</v>
      </c>
      <c r="N171" s="3" t="s">
        <v>44</v>
      </c>
      <c r="O171" s="3" t="s">
        <v>47</v>
      </c>
      <c r="P171" s="11"/>
    </row>
    <row r="172" spans="1:16" x14ac:dyDescent="0.25">
      <c r="A172" s="3" t="s">
        <v>971</v>
      </c>
      <c r="B172" s="6">
        <v>45833</v>
      </c>
      <c r="C172" s="3" t="s">
        <v>972</v>
      </c>
      <c r="D172" s="3" t="s">
        <v>973</v>
      </c>
      <c r="E172" s="3" t="s">
        <v>119</v>
      </c>
      <c r="F172" s="3" t="s">
        <v>533</v>
      </c>
      <c r="G172" s="3" t="s">
        <v>36</v>
      </c>
      <c r="H172" s="3">
        <v>1</v>
      </c>
      <c r="I172" s="3">
        <v>25000</v>
      </c>
      <c r="J172" s="3">
        <v>25000</v>
      </c>
      <c r="K172" s="3" t="s">
        <v>91</v>
      </c>
      <c r="L172" s="3" t="str">
        <f>_xlfn.XLOOKUP(K172,Employees!$A$2:$A$51,Employees!$B$2:$B$51)</f>
        <v>Nithya Krishnan</v>
      </c>
      <c r="M172" s="3" t="str">
        <f>_xlfn.XLOOKUP(K172,Employees!$A$2:$A$51,Employees!$E$2:$E$51)</f>
        <v>Chennai</v>
      </c>
      <c r="N172" s="3" t="s">
        <v>42</v>
      </c>
      <c r="O172" s="3" t="s">
        <v>48</v>
      </c>
      <c r="P172" s="11"/>
    </row>
    <row r="173" spans="1:16" x14ac:dyDescent="0.25">
      <c r="A173" s="3" t="s">
        <v>974</v>
      </c>
      <c r="B173" s="6">
        <v>45834</v>
      </c>
      <c r="C173" s="3" t="s">
        <v>975</v>
      </c>
      <c r="D173" s="3" t="s">
        <v>976</v>
      </c>
      <c r="E173" s="3" t="s">
        <v>120</v>
      </c>
      <c r="F173" s="3" t="s">
        <v>536</v>
      </c>
      <c r="G173" s="3" t="s">
        <v>37</v>
      </c>
      <c r="H173" s="3">
        <v>2</v>
      </c>
      <c r="I173" s="3">
        <v>1500</v>
      </c>
      <c r="J173" s="3">
        <v>3000</v>
      </c>
      <c r="K173" s="3" t="s">
        <v>92</v>
      </c>
      <c r="L173" s="3" t="str">
        <f>_xlfn.XLOOKUP(K173,Employees!$A$2:$A$51,Employees!$B$2:$B$51)</f>
        <v>Rohit Mehta</v>
      </c>
      <c r="M173" s="3" t="str">
        <f>_xlfn.XLOOKUP(K173,Employees!$A$2:$A$51,Employees!$E$2:$E$51)</f>
        <v>Hydrabed</v>
      </c>
      <c r="N173" s="3" t="s">
        <v>44</v>
      </c>
      <c r="O173" s="3" t="s">
        <v>46</v>
      </c>
      <c r="P173" s="11"/>
    </row>
    <row r="174" spans="1:16" x14ac:dyDescent="0.25">
      <c r="A174" s="3" t="s">
        <v>977</v>
      </c>
      <c r="B174" s="6">
        <v>45835</v>
      </c>
      <c r="C174" s="3" t="s">
        <v>978</v>
      </c>
      <c r="D174" s="3" t="s">
        <v>979</v>
      </c>
      <c r="E174" s="3" t="s">
        <v>121</v>
      </c>
      <c r="F174" s="3" t="s">
        <v>539</v>
      </c>
      <c r="G174" s="3" t="s">
        <v>38</v>
      </c>
      <c r="H174" s="3">
        <v>10</v>
      </c>
      <c r="I174" s="3">
        <v>500</v>
      </c>
      <c r="J174" s="3">
        <v>5000</v>
      </c>
      <c r="K174" s="3" t="s">
        <v>93</v>
      </c>
      <c r="L174" s="3" t="str">
        <f>_xlfn.XLOOKUP(K174,Employees!$A$2:$A$51,Employees!$B$2:$B$51)</f>
        <v>Aisha Khan</v>
      </c>
      <c r="M174" s="3" t="str">
        <f>_xlfn.XLOOKUP(K174,Employees!$A$2:$A$51,Employees!$E$2:$E$51)</f>
        <v>Delhi</v>
      </c>
      <c r="N174" s="3" t="s">
        <v>42</v>
      </c>
      <c r="O174" s="3" t="s">
        <v>46</v>
      </c>
      <c r="P174" s="11"/>
    </row>
    <row r="175" spans="1:16" x14ac:dyDescent="0.25">
      <c r="A175" s="3" t="s">
        <v>980</v>
      </c>
      <c r="B175" s="6">
        <v>45836</v>
      </c>
      <c r="C175" s="3" t="s">
        <v>981</v>
      </c>
      <c r="D175" s="3" t="s">
        <v>982</v>
      </c>
      <c r="E175" s="3" t="s">
        <v>122</v>
      </c>
      <c r="F175" s="3" t="s">
        <v>542</v>
      </c>
      <c r="G175" s="3" t="s">
        <v>39</v>
      </c>
      <c r="H175" s="3">
        <v>1</v>
      </c>
      <c r="I175" s="3">
        <v>12000</v>
      </c>
      <c r="J175" s="3">
        <v>12000</v>
      </c>
      <c r="K175" s="3" t="s">
        <v>94</v>
      </c>
      <c r="L175" s="3" t="str">
        <f>_xlfn.XLOOKUP(K175,Employees!$A$2:$A$51,Employees!$B$2:$B$51)</f>
        <v>Vikram Iyer</v>
      </c>
      <c r="M175" s="3" t="str">
        <f>_xlfn.XLOOKUP(K175,Employees!$A$2:$A$51,Employees!$E$2:$E$51)</f>
        <v>Bangalore</v>
      </c>
      <c r="N175" s="3" t="s">
        <v>45</v>
      </c>
      <c r="O175" s="3" t="s">
        <v>48</v>
      </c>
      <c r="P175" s="11"/>
    </row>
    <row r="176" spans="1:16" x14ac:dyDescent="0.25">
      <c r="A176" s="3" t="s">
        <v>983</v>
      </c>
      <c r="B176" s="6">
        <v>45837</v>
      </c>
      <c r="C176" s="3" t="s">
        <v>984</v>
      </c>
      <c r="D176" s="3" t="s">
        <v>985</v>
      </c>
      <c r="E176" s="3" t="s">
        <v>123</v>
      </c>
      <c r="F176" s="3" t="s">
        <v>545</v>
      </c>
      <c r="G176" s="3" t="s">
        <v>40</v>
      </c>
      <c r="H176" s="3">
        <v>3</v>
      </c>
      <c r="I176" s="3">
        <v>800</v>
      </c>
      <c r="J176" s="3">
        <v>2400</v>
      </c>
      <c r="K176" s="3" t="s">
        <v>101</v>
      </c>
      <c r="L176" s="3" t="str">
        <f>_xlfn.XLOOKUP(K176,Employees!$A$2:$A$51,Employees!$B$2:$B$51)</f>
        <v>Neha Gupta</v>
      </c>
      <c r="M176" s="3" t="str">
        <f>_xlfn.XLOOKUP(K176,Employees!$A$2:$A$51,Employees!$E$2:$E$51)</f>
        <v>Mumbai</v>
      </c>
      <c r="N176" s="3" t="s">
        <v>45</v>
      </c>
      <c r="O176" s="3" t="s">
        <v>49</v>
      </c>
      <c r="P176" s="11"/>
    </row>
    <row r="177" spans="1:16" x14ac:dyDescent="0.25">
      <c r="A177" s="3" t="s">
        <v>986</v>
      </c>
      <c r="B177" s="6">
        <v>45838</v>
      </c>
      <c r="C177" s="3" t="s">
        <v>987</v>
      </c>
      <c r="D177" s="3" t="s">
        <v>988</v>
      </c>
      <c r="E177" s="3" t="s">
        <v>124</v>
      </c>
      <c r="F177" s="3" t="s">
        <v>548</v>
      </c>
      <c r="G177" s="3" t="s">
        <v>36</v>
      </c>
      <c r="H177" s="3">
        <v>2</v>
      </c>
      <c r="I177" s="3">
        <v>18000</v>
      </c>
      <c r="J177" s="3">
        <v>36000</v>
      </c>
      <c r="K177" s="3" t="s">
        <v>105</v>
      </c>
      <c r="L177" s="3" t="str">
        <f>_xlfn.XLOOKUP(K177,Employees!$A$2:$A$51,Employees!$B$2:$B$51)</f>
        <v>Harish Ramanan</v>
      </c>
      <c r="M177" s="3" t="str">
        <f>_xlfn.XLOOKUP(K177,Employees!$A$2:$A$51,Employees!$E$2:$E$51)</f>
        <v>Chennai</v>
      </c>
      <c r="N177" s="3" t="s">
        <v>45</v>
      </c>
      <c r="O177" s="3" t="s">
        <v>49</v>
      </c>
      <c r="P177" s="11"/>
    </row>
    <row r="178" spans="1:16" x14ac:dyDescent="0.25">
      <c r="A178" s="3" t="s">
        <v>989</v>
      </c>
      <c r="B178" s="6">
        <v>45839</v>
      </c>
      <c r="C178" s="3" t="s">
        <v>990</v>
      </c>
      <c r="D178" s="3" t="s">
        <v>991</v>
      </c>
      <c r="E178" s="3" t="s">
        <v>125</v>
      </c>
      <c r="F178" s="3" t="s">
        <v>551</v>
      </c>
      <c r="G178" s="3" t="s">
        <v>37</v>
      </c>
      <c r="H178" s="3">
        <v>4</v>
      </c>
      <c r="I178" s="3">
        <v>2200</v>
      </c>
      <c r="J178" s="3">
        <v>8800</v>
      </c>
      <c r="K178" s="3" t="s">
        <v>106</v>
      </c>
      <c r="L178" s="3" t="str">
        <f>_xlfn.XLOOKUP(K178,Employees!$A$2:$A$51,Employees!$B$2:$B$51)</f>
        <v>Lakshmi Devi</v>
      </c>
      <c r="M178" s="3" t="str">
        <f>_xlfn.XLOOKUP(K178,Employees!$A$2:$A$51,Employees!$E$2:$E$51)</f>
        <v>Bangalore</v>
      </c>
      <c r="N178" s="3" t="s">
        <v>43</v>
      </c>
      <c r="O178" s="3" t="s">
        <v>47</v>
      </c>
      <c r="P178" s="11"/>
    </row>
    <row r="179" spans="1:16" x14ac:dyDescent="0.25">
      <c r="A179" s="3" t="s">
        <v>992</v>
      </c>
      <c r="B179" s="6">
        <v>45840</v>
      </c>
      <c r="C179" s="3" t="s">
        <v>993</v>
      </c>
      <c r="D179" s="3" t="s">
        <v>994</v>
      </c>
      <c r="E179" s="3" t="s">
        <v>126</v>
      </c>
      <c r="F179" s="3" t="s">
        <v>554</v>
      </c>
      <c r="G179" s="3" t="s">
        <v>38</v>
      </c>
      <c r="H179" s="3">
        <v>5</v>
      </c>
      <c r="I179" s="3">
        <v>300</v>
      </c>
      <c r="J179" s="3">
        <v>1500</v>
      </c>
      <c r="K179" s="3" t="s">
        <v>107</v>
      </c>
      <c r="L179" s="3" t="str">
        <f>_xlfn.XLOOKUP(K179,Employees!$A$2:$A$51,Employees!$B$2:$B$51)</f>
        <v>Mohammed Ali</v>
      </c>
      <c r="M179" s="3" t="str">
        <f>_xlfn.XLOOKUP(K179,Employees!$A$2:$A$51,Employees!$E$2:$E$51)</f>
        <v>Hydrabed</v>
      </c>
      <c r="N179" s="3" t="s">
        <v>43</v>
      </c>
      <c r="O179" s="3" t="s">
        <v>46</v>
      </c>
      <c r="P179" s="11"/>
    </row>
    <row r="180" spans="1:16" x14ac:dyDescent="0.25">
      <c r="A180" s="3" t="s">
        <v>995</v>
      </c>
      <c r="B180" s="6">
        <v>45841</v>
      </c>
      <c r="C180" s="3" t="s">
        <v>996</v>
      </c>
      <c r="D180" s="3" t="s">
        <v>997</v>
      </c>
      <c r="E180" s="3" t="s">
        <v>127</v>
      </c>
      <c r="F180" s="3" t="s">
        <v>557</v>
      </c>
      <c r="G180" s="3" t="s">
        <v>39</v>
      </c>
      <c r="H180" s="3">
        <v>2</v>
      </c>
      <c r="I180" s="3">
        <v>15000</v>
      </c>
      <c r="J180" s="3">
        <v>30000</v>
      </c>
      <c r="K180" s="3" t="s">
        <v>108</v>
      </c>
      <c r="L180" s="3" t="str">
        <f>_xlfn.XLOOKUP(K180,Employees!$A$2:$A$51,Employees!$B$2:$B$51)</f>
        <v>Kavya Srinivas</v>
      </c>
      <c r="M180" s="3" t="str">
        <f>_xlfn.XLOOKUP(K180,Employees!$A$2:$A$51,Employees!$E$2:$E$51)</f>
        <v>Delhi</v>
      </c>
      <c r="N180" s="3" t="s">
        <v>44</v>
      </c>
      <c r="O180" s="3" t="s">
        <v>46</v>
      </c>
      <c r="P180" s="11"/>
    </row>
    <row r="181" spans="1:16" x14ac:dyDescent="0.25">
      <c r="A181" s="3" t="s">
        <v>998</v>
      </c>
      <c r="B181" s="6">
        <v>45842</v>
      </c>
      <c r="C181" s="3" t="s">
        <v>999</v>
      </c>
      <c r="D181" s="3" t="s">
        <v>1000</v>
      </c>
      <c r="E181" s="3" t="s">
        <v>128</v>
      </c>
      <c r="F181" s="3" t="s">
        <v>560</v>
      </c>
      <c r="G181" s="3" t="s">
        <v>40</v>
      </c>
      <c r="H181" s="3">
        <v>3</v>
      </c>
      <c r="I181" s="3">
        <v>1200</v>
      </c>
      <c r="J181" s="3">
        <v>3600</v>
      </c>
      <c r="K181" s="3" t="s">
        <v>109</v>
      </c>
      <c r="L181" s="3" t="str">
        <f>_xlfn.XLOOKUP(K181,Employees!$A$2:$A$51,Employees!$B$2:$B$51)</f>
        <v>Rakesh Sharma</v>
      </c>
      <c r="M181" s="3" t="str">
        <f>_xlfn.XLOOKUP(K181,Employees!$A$2:$A$51,Employees!$E$2:$E$51)</f>
        <v>Mumbai</v>
      </c>
      <c r="N181" s="3" t="s">
        <v>42</v>
      </c>
      <c r="O181" s="3" t="s">
        <v>47</v>
      </c>
      <c r="P181" s="11"/>
    </row>
    <row r="182" spans="1:16" x14ac:dyDescent="0.25">
      <c r="A182" s="3" t="s">
        <v>1001</v>
      </c>
      <c r="B182" s="6">
        <v>45843</v>
      </c>
      <c r="C182" s="3" t="s">
        <v>1002</v>
      </c>
      <c r="D182" s="3" t="s">
        <v>1003</v>
      </c>
      <c r="E182" s="3" t="s">
        <v>156</v>
      </c>
      <c r="F182" s="3" t="s">
        <v>563</v>
      </c>
      <c r="G182" s="3" t="s">
        <v>36</v>
      </c>
      <c r="H182" s="3">
        <v>2</v>
      </c>
      <c r="I182" s="3">
        <v>32000</v>
      </c>
      <c r="J182" s="3">
        <v>64000</v>
      </c>
      <c r="K182" s="3" t="s">
        <v>51</v>
      </c>
      <c r="L182" s="3" t="str">
        <f>_xlfn.XLOOKUP(K182,Employees!$A$2:$A$51,Employees!$B$2:$B$51)</f>
        <v>Arjun Kumar</v>
      </c>
      <c r="M182" s="3" t="str">
        <f>_xlfn.XLOOKUP(K182,Employees!$A$2:$A$51,Employees!$E$2:$E$51)</f>
        <v>Chennai</v>
      </c>
      <c r="N182" s="3" t="s">
        <v>43</v>
      </c>
      <c r="O182" s="3" t="s">
        <v>47</v>
      </c>
      <c r="P182" s="11"/>
    </row>
    <row r="183" spans="1:16" x14ac:dyDescent="0.25">
      <c r="A183" s="3" t="s">
        <v>1004</v>
      </c>
      <c r="B183" s="6">
        <v>45844</v>
      </c>
      <c r="C183" s="3" t="s">
        <v>1005</v>
      </c>
      <c r="D183" s="3" t="s">
        <v>1006</v>
      </c>
      <c r="E183" s="3" t="s">
        <v>157</v>
      </c>
      <c r="F183" s="3" t="s">
        <v>566</v>
      </c>
      <c r="G183" s="3" t="s">
        <v>37</v>
      </c>
      <c r="H183" s="3">
        <v>1</v>
      </c>
      <c r="I183" s="3">
        <v>1800</v>
      </c>
      <c r="J183" s="3">
        <v>1800</v>
      </c>
      <c r="K183" s="3" t="s">
        <v>52</v>
      </c>
      <c r="L183" s="3" t="str">
        <f>_xlfn.XLOOKUP(K183,Employees!$A$2:$A$51,Employees!$B$2:$B$51)</f>
        <v>Priya Sharma</v>
      </c>
      <c r="M183" s="3" t="str">
        <f>_xlfn.XLOOKUP(K183,Employees!$A$2:$A$51,Employees!$E$2:$E$51)</f>
        <v>Bangalore</v>
      </c>
      <c r="N183" s="3" t="s">
        <v>42</v>
      </c>
      <c r="O183" s="3" t="s">
        <v>48</v>
      </c>
      <c r="P183" s="11"/>
    </row>
    <row r="184" spans="1:16" x14ac:dyDescent="0.25">
      <c r="A184" s="3" t="s">
        <v>1007</v>
      </c>
      <c r="B184" s="6">
        <v>45845</v>
      </c>
      <c r="C184" s="3" t="s">
        <v>1008</v>
      </c>
      <c r="D184" s="3" t="s">
        <v>1009</v>
      </c>
      <c r="E184" s="3" t="s">
        <v>158</v>
      </c>
      <c r="F184" s="3" t="s">
        <v>569</v>
      </c>
      <c r="G184" s="3" t="s">
        <v>38</v>
      </c>
      <c r="H184" s="3">
        <v>6</v>
      </c>
      <c r="I184" s="3">
        <v>250</v>
      </c>
      <c r="J184" s="3">
        <v>1500</v>
      </c>
      <c r="K184" s="3" t="s">
        <v>53</v>
      </c>
      <c r="L184" s="3" t="str">
        <f>_xlfn.XLOOKUP(K184,Employees!$A$2:$A$51,Employees!$B$2:$B$51)</f>
        <v>Rahul Verma</v>
      </c>
      <c r="M184" s="3" t="str">
        <f>_xlfn.XLOOKUP(K184,Employees!$A$2:$A$51,Employees!$E$2:$E$51)</f>
        <v>Hydrabed</v>
      </c>
      <c r="N184" s="3" t="s">
        <v>42</v>
      </c>
      <c r="O184" s="3" t="s">
        <v>49</v>
      </c>
      <c r="P184" s="11"/>
    </row>
    <row r="185" spans="1:16" x14ac:dyDescent="0.25">
      <c r="A185" s="3" t="s">
        <v>1010</v>
      </c>
      <c r="B185" s="6">
        <v>45846</v>
      </c>
      <c r="C185" s="3" t="s">
        <v>1011</v>
      </c>
      <c r="D185" s="3" t="s">
        <v>1012</v>
      </c>
      <c r="E185" s="3" t="s">
        <v>159</v>
      </c>
      <c r="F185" s="3" t="s">
        <v>572</v>
      </c>
      <c r="G185" s="3" t="s">
        <v>39</v>
      </c>
      <c r="H185" s="3">
        <v>2</v>
      </c>
      <c r="I185" s="3">
        <v>9000</v>
      </c>
      <c r="J185" s="3">
        <v>18000</v>
      </c>
      <c r="K185" s="3" t="s">
        <v>54</v>
      </c>
      <c r="L185" s="3" t="str">
        <f>_xlfn.XLOOKUP(K185,Employees!$A$2:$A$51,Employees!$B$2:$B$51)</f>
        <v>Sneha Reddy</v>
      </c>
      <c r="M185" s="3" t="str">
        <f>_xlfn.XLOOKUP(K185,Employees!$A$2:$A$51,Employees!$E$2:$E$51)</f>
        <v>Chennai</v>
      </c>
      <c r="N185" s="3" t="s">
        <v>44</v>
      </c>
      <c r="O185" s="3" t="s">
        <v>46</v>
      </c>
      <c r="P185" s="11"/>
    </row>
    <row r="186" spans="1:16" x14ac:dyDescent="0.25">
      <c r="A186" s="3" t="s">
        <v>1013</v>
      </c>
      <c r="B186" s="6">
        <v>45847</v>
      </c>
      <c r="C186" s="3" t="s">
        <v>1014</v>
      </c>
      <c r="D186" s="3" t="s">
        <v>1015</v>
      </c>
      <c r="E186" s="3" t="s">
        <v>160</v>
      </c>
      <c r="F186" s="3" t="s">
        <v>575</v>
      </c>
      <c r="G186" s="3" t="s">
        <v>40</v>
      </c>
      <c r="H186" s="3">
        <v>4</v>
      </c>
      <c r="I186" s="3">
        <v>600</v>
      </c>
      <c r="J186" s="3">
        <v>2400</v>
      </c>
      <c r="K186" s="3" t="s">
        <v>55</v>
      </c>
      <c r="L186" s="3" t="str">
        <f>_xlfn.XLOOKUP(K186,Employees!$A$2:$A$51,Employees!$B$2:$B$51)</f>
        <v>Karthik Raj</v>
      </c>
      <c r="M186" s="3" t="str">
        <f>_xlfn.XLOOKUP(K186,Employees!$A$2:$A$51,Employees!$E$2:$E$51)</f>
        <v>Bangalore</v>
      </c>
      <c r="N186" s="3" t="s">
        <v>42</v>
      </c>
      <c r="O186" s="3" t="s">
        <v>46</v>
      </c>
      <c r="P186" s="11"/>
    </row>
    <row r="187" spans="1:16" x14ac:dyDescent="0.25">
      <c r="A187" s="3" t="s">
        <v>1016</v>
      </c>
      <c r="B187" s="6">
        <v>45848</v>
      </c>
      <c r="C187" s="3" t="s">
        <v>1017</v>
      </c>
      <c r="D187" s="3" t="s">
        <v>1018</v>
      </c>
      <c r="E187" s="3" t="s">
        <v>161</v>
      </c>
      <c r="F187" s="3" t="s">
        <v>578</v>
      </c>
      <c r="G187" s="3" t="s">
        <v>36</v>
      </c>
      <c r="H187" s="3">
        <v>3</v>
      </c>
      <c r="I187" s="3">
        <v>21000</v>
      </c>
      <c r="J187" s="3">
        <v>63000</v>
      </c>
      <c r="K187" s="3" t="s">
        <v>56</v>
      </c>
      <c r="L187" s="3" t="str">
        <f>_xlfn.XLOOKUP(K187,Employees!$A$2:$A$51,Employees!$B$2:$B$51)</f>
        <v xml:space="preserve">Divya Nair </v>
      </c>
      <c r="M187" s="3" t="str">
        <f>_xlfn.XLOOKUP(K187,Employees!$A$2:$A$51,Employees!$E$2:$E$51)</f>
        <v>Hydrabed</v>
      </c>
      <c r="N187" s="3" t="s">
        <v>44</v>
      </c>
      <c r="O187" s="3" t="s">
        <v>49</v>
      </c>
      <c r="P187" s="11"/>
    </row>
    <row r="188" spans="1:16" x14ac:dyDescent="0.25">
      <c r="A188" s="3" t="s">
        <v>1019</v>
      </c>
      <c r="B188" s="6">
        <v>45849</v>
      </c>
      <c r="C188" s="3" t="s">
        <v>1020</v>
      </c>
      <c r="D188" s="3" t="s">
        <v>1021</v>
      </c>
      <c r="E188" s="3" t="s">
        <v>162</v>
      </c>
      <c r="F188" s="3" t="s">
        <v>581</v>
      </c>
      <c r="G188" s="3" t="s">
        <v>37</v>
      </c>
      <c r="H188" s="3">
        <v>2</v>
      </c>
      <c r="I188" s="3">
        <v>2500</v>
      </c>
      <c r="J188" s="3">
        <v>5000</v>
      </c>
      <c r="K188" s="3" t="s">
        <v>57</v>
      </c>
      <c r="L188" s="3" t="str">
        <f>_xlfn.XLOOKUP(K188,Employees!$A$2:$A$51,Employees!$B$2:$B$51)</f>
        <v>Ajay Singh</v>
      </c>
      <c r="M188" s="3" t="str">
        <f>_xlfn.XLOOKUP(K188,Employees!$A$2:$A$51,Employees!$E$2:$E$51)</f>
        <v>Chennai</v>
      </c>
      <c r="N188" s="3" t="s">
        <v>44</v>
      </c>
      <c r="O188" s="3" t="s">
        <v>46</v>
      </c>
      <c r="P188" s="11"/>
    </row>
    <row r="189" spans="1:16" x14ac:dyDescent="0.25">
      <c r="A189" s="3" t="s">
        <v>1022</v>
      </c>
      <c r="B189" s="6">
        <v>45850</v>
      </c>
      <c r="C189" s="3" t="s">
        <v>1023</v>
      </c>
      <c r="D189" s="3" t="s">
        <v>1024</v>
      </c>
      <c r="E189" s="3" t="s">
        <v>163</v>
      </c>
      <c r="F189" s="3" t="s">
        <v>584</v>
      </c>
      <c r="G189" s="3" t="s">
        <v>38</v>
      </c>
      <c r="H189" s="3">
        <v>8</v>
      </c>
      <c r="I189" s="3">
        <v>700</v>
      </c>
      <c r="J189" s="3">
        <v>5600</v>
      </c>
      <c r="K189" s="3" t="s">
        <v>58</v>
      </c>
      <c r="L189" s="3" t="str">
        <f>_xlfn.XLOOKUP(K189,Employees!$A$2:$A$51,Employees!$B$2:$B$51)</f>
        <v>Meera Joshi</v>
      </c>
      <c r="M189" s="3" t="str">
        <f>_xlfn.XLOOKUP(K189,Employees!$A$2:$A$51,Employees!$E$2:$E$51)</f>
        <v>Mumbai</v>
      </c>
      <c r="N189" s="3" t="s">
        <v>43</v>
      </c>
      <c r="O189" s="3" t="s">
        <v>48</v>
      </c>
      <c r="P189" s="11"/>
    </row>
    <row r="190" spans="1:16" x14ac:dyDescent="0.25">
      <c r="A190" s="3" t="s">
        <v>1025</v>
      </c>
      <c r="B190" s="6">
        <v>45851</v>
      </c>
      <c r="C190" s="3" t="s">
        <v>1026</v>
      </c>
      <c r="D190" s="3" t="s">
        <v>1027</v>
      </c>
      <c r="E190" s="3" t="s">
        <v>164</v>
      </c>
      <c r="F190" s="3" t="s">
        <v>587</v>
      </c>
      <c r="G190" s="3" t="s">
        <v>39</v>
      </c>
      <c r="H190" s="3">
        <v>1</v>
      </c>
      <c r="I190" s="3">
        <v>18000</v>
      </c>
      <c r="J190" s="3">
        <v>18000</v>
      </c>
      <c r="K190" s="3" t="s">
        <v>59</v>
      </c>
      <c r="L190" s="3" t="str">
        <f>_xlfn.XLOOKUP(K190,Employees!$A$2:$A$51,Employees!$B$2:$B$51)</f>
        <v>Sanjay Kumar</v>
      </c>
      <c r="M190" s="3" t="str">
        <f>_xlfn.XLOOKUP(K190,Employees!$A$2:$A$51,Employees!$E$2:$E$51)</f>
        <v>Delhi</v>
      </c>
      <c r="N190" s="3" t="s">
        <v>45</v>
      </c>
      <c r="O190" s="3" t="s">
        <v>49</v>
      </c>
      <c r="P190" s="11"/>
    </row>
    <row r="191" spans="1:16" x14ac:dyDescent="0.25">
      <c r="A191" s="3" t="s">
        <v>1028</v>
      </c>
      <c r="B191" s="6">
        <v>45852</v>
      </c>
      <c r="C191" s="3" t="s">
        <v>1029</v>
      </c>
      <c r="D191" s="3" t="s">
        <v>1030</v>
      </c>
      <c r="E191" s="3" t="s">
        <v>165</v>
      </c>
      <c r="F191" s="3" t="s">
        <v>590</v>
      </c>
      <c r="G191" s="3" t="s">
        <v>40</v>
      </c>
      <c r="H191" s="3">
        <v>5</v>
      </c>
      <c r="I191" s="3">
        <v>900</v>
      </c>
      <c r="J191" s="3">
        <v>4500</v>
      </c>
      <c r="K191" s="3" t="s">
        <v>60</v>
      </c>
      <c r="L191" s="3" t="str">
        <f>_xlfn.XLOOKUP(K191,Employees!$A$2:$A$51,Employees!$B$2:$B$51)</f>
        <v>Pooja Patel</v>
      </c>
      <c r="M191" s="3" t="str">
        <f>_xlfn.XLOOKUP(K191,Employees!$A$2:$A$51,Employees!$E$2:$E$51)</f>
        <v>Bangalore</v>
      </c>
      <c r="N191" s="3" t="s">
        <v>44</v>
      </c>
      <c r="O191" s="3" t="s">
        <v>47</v>
      </c>
      <c r="P191" s="11"/>
    </row>
    <row r="192" spans="1:16" x14ac:dyDescent="0.25">
      <c r="A192" s="3" t="s">
        <v>1031</v>
      </c>
      <c r="B192" s="6">
        <v>45853</v>
      </c>
      <c r="C192" s="3" t="s">
        <v>1032</v>
      </c>
      <c r="D192" s="3" t="s">
        <v>1033</v>
      </c>
      <c r="E192" s="3" t="s">
        <v>166</v>
      </c>
      <c r="F192" s="3" t="s">
        <v>593</v>
      </c>
      <c r="G192" s="3" t="s">
        <v>36</v>
      </c>
      <c r="H192" s="3">
        <v>3</v>
      </c>
      <c r="I192" s="3">
        <v>15000</v>
      </c>
      <c r="J192" s="3">
        <v>45000</v>
      </c>
      <c r="K192" s="3" t="s">
        <v>91</v>
      </c>
      <c r="L192" s="3" t="str">
        <f>_xlfn.XLOOKUP(K192,Employees!$A$2:$A$51,Employees!$B$2:$B$51)</f>
        <v>Nithya Krishnan</v>
      </c>
      <c r="M192" s="3" t="str">
        <f>_xlfn.XLOOKUP(K192,Employees!$A$2:$A$51,Employees!$E$2:$E$51)</f>
        <v>Chennai</v>
      </c>
      <c r="N192" s="3" t="s">
        <v>43</v>
      </c>
      <c r="O192" s="3" t="s">
        <v>48</v>
      </c>
      <c r="P192" s="11"/>
    </row>
    <row r="193" spans="1:16" x14ac:dyDescent="0.25">
      <c r="A193" s="3" t="s">
        <v>1034</v>
      </c>
      <c r="B193" s="6">
        <v>45854</v>
      </c>
      <c r="C193" s="3" t="s">
        <v>1035</v>
      </c>
      <c r="D193" s="3" t="s">
        <v>1036</v>
      </c>
      <c r="E193" s="3" t="s">
        <v>167</v>
      </c>
      <c r="F193" s="3" t="s">
        <v>596</v>
      </c>
      <c r="G193" s="3" t="s">
        <v>37</v>
      </c>
      <c r="H193" s="3">
        <v>2</v>
      </c>
      <c r="I193" s="3">
        <v>3000</v>
      </c>
      <c r="J193" s="3">
        <v>6000</v>
      </c>
      <c r="K193" s="3" t="s">
        <v>92</v>
      </c>
      <c r="L193" s="3" t="str">
        <f>_xlfn.XLOOKUP(K193,Employees!$A$2:$A$51,Employees!$B$2:$B$51)</f>
        <v>Rohit Mehta</v>
      </c>
      <c r="M193" s="3" t="str">
        <f>_xlfn.XLOOKUP(K193,Employees!$A$2:$A$51,Employees!$E$2:$E$51)</f>
        <v>Hydrabed</v>
      </c>
      <c r="N193" s="3" t="s">
        <v>41</v>
      </c>
      <c r="O193" s="3" t="s">
        <v>47</v>
      </c>
      <c r="P193" s="11"/>
    </row>
    <row r="194" spans="1:16" x14ac:dyDescent="0.25">
      <c r="A194" s="3" t="s">
        <v>1037</v>
      </c>
      <c r="B194" s="6">
        <v>45855</v>
      </c>
      <c r="C194" s="3" t="s">
        <v>1038</v>
      </c>
      <c r="D194" s="3" t="s">
        <v>1039</v>
      </c>
      <c r="E194" s="3" t="s">
        <v>168</v>
      </c>
      <c r="F194" s="3" t="s">
        <v>599</v>
      </c>
      <c r="G194" s="3" t="s">
        <v>38</v>
      </c>
      <c r="H194" s="3">
        <v>7</v>
      </c>
      <c r="I194" s="3">
        <v>400</v>
      </c>
      <c r="J194" s="3">
        <v>2800</v>
      </c>
      <c r="K194" s="3" t="s">
        <v>93</v>
      </c>
      <c r="L194" s="3" t="str">
        <f>_xlfn.XLOOKUP(K194,Employees!$A$2:$A$51,Employees!$B$2:$B$51)</f>
        <v>Aisha Khan</v>
      </c>
      <c r="M194" s="3" t="str">
        <f>_xlfn.XLOOKUP(K194,Employees!$A$2:$A$51,Employees!$E$2:$E$51)</f>
        <v>Delhi</v>
      </c>
      <c r="N194" s="3" t="s">
        <v>41</v>
      </c>
      <c r="O194" s="3" t="s">
        <v>47</v>
      </c>
      <c r="P194" s="11"/>
    </row>
    <row r="195" spans="1:16" x14ac:dyDescent="0.25">
      <c r="A195" s="3" t="s">
        <v>1040</v>
      </c>
      <c r="B195" s="6">
        <v>45856</v>
      </c>
      <c r="C195" s="3" t="s">
        <v>1041</v>
      </c>
      <c r="D195" s="3" t="s">
        <v>1042</v>
      </c>
      <c r="E195" s="3" t="s">
        <v>169</v>
      </c>
      <c r="F195" s="3" t="s">
        <v>602</v>
      </c>
      <c r="G195" s="3" t="s">
        <v>39</v>
      </c>
      <c r="H195" s="3">
        <v>1</v>
      </c>
      <c r="I195" s="3">
        <v>11000</v>
      </c>
      <c r="J195" s="3">
        <v>11000</v>
      </c>
      <c r="K195" s="3" t="s">
        <v>94</v>
      </c>
      <c r="L195" s="3" t="str">
        <f>_xlfn.XLOOKUP(K195,Employees!$A$2:$A$51,Employees!$B$2:$B$51)</f>
        <v>Vikram Iyer</v>
      </c>
      <c r="M195" s="3" t="str">
        <f>_xlfn.XLOOKUP(K195,Employees!$A$2:$A$51,Employees!$E$2:$E$51)</f>
        <v>Bangalore</v>
      </c>
      <c r="N195" s="3" t="s">
        <v>42</v>
      </c>
      <c r="O195" s="3" t="s">
        <v>49</v>
      </c>
      <c r="P195" s="11"/>
    </row>
    <row r="196" spans="1:16" x14ac:dyDescent="0.25">
      <c r="A196" s="3" t="s">
        <v>1043</v>
      </c>
      <c r="B196" s="6">
        <v>45857</v>
      </c>
      <c r="C196" s="3" t="s">
        <v>1044</v>
      </c>
      <c r="D196" s="3" t="s">
        <v>1045</v>
      </c>
      <c r="E196" s="3" t="s">
        <v>170</v>
      </c>
      <c r="F196" s="3" t="s">
        <v>605</v>
      </c>
      <c r="G196" s="3" t="s">
        <v>40</v>
      </c>
      <c r="H196" s="3">
        <v>4</v>
      </c>
      <c r="I196" s="3">
        <v>750</v>
      </c>
      <c r="J196" s="3">
        <v>3000</v>
      </c>
      <c r="K196" s="3" t="s">
        <v>101</v>
      </c>
      <c r="L196" s="3" t="str">
        <f>_xlfn.XLOOKUP(K196,Employees!$A$2:$A$51,Employees!$B$2:$B$51)</f>
        <v>Neha Gupta</v>
      </c>
      <c r="M196" s="3" t="str">
        <f>_xlfn.XLOOKUP(K196,Employees!$A$2:$A$51,Employees!$E$2:$E$51)</f>
        <v>Mumbai</v>
      </c>
      <c r="N196" s="3" t="s">
        <v>41</v>
      </c>
      <c r="O196" s="3" t="s">
        <v>48</v>
      </c>
      <c r="P196" s="11"/>
    </row>
    <row r="197" spans="1:16" x14ac:dyDescent="0.25">
      <c r="A197" s="3" t="s">
        <v>1046</v>
      </c>
      <c r="B197" s="6">
        <v>45858</v>
      </c>
      <c r="C197" s="3" t="s">
        <v>1047</v>
      </c>
      <c r="D197" s="3" t="s">
        <v>1048</v>
      </c>
      <c r="E197" s="3" t="s">
        <v>171</v>
      </c>
      <c r="F197" s="3" t="s">
        <v>608</v>
      </c>
      <c r="G197" s="3" t="s">
        <v>36</v>
      </c>
      <c r="H197" s="3">
        <v>2</v>
      </c>
      <c r="I197" s="3">
        <v>28000</v>
      </c>
      <c r="J197" s="3">
        <v>56000</v>
      </c>
      <c r="K197" s="3" t="s">
        <v>105</v>
      </c>
      <c r="L197" s="3" t="str">
        <f>_xlfn.XLOOKUP(K197,Employees!$A$2:$A$51,Employees!$B$2:$B$51)</f>
        <v>Harish Ramanan</v>
      </c>
      <c r="M197" s="3" t="str">
        <f>_xlfn.XLOOKUP(K197,Employees!$A$2:$A$51,Employees!$E$2:$E$51)</f>
        <v>Chennai</v>
      </c>
      <c r="N197" s="3" t="s">
        <v>44</v>
      </c>
      <c r="O197" s="3" t="s">
        <v>47</v>
      </c>
      <c r="P197" s="11"/>
    </row>
    <row r="198" spans="1:16" x14ac:dyDescent="0.25">
      <c r="A198" s="3" t="s">
        <v>1049</v>
      </c>
      <c r="B198" s="6">
        <v>45859</v>
      </c>
      <c r="C198" s="3" t="s">
        <v>1050</v>
      </c>
      <c r="D198" s="3" t="s">
        <v>1051</v>
      </c>
      <c r="E198" s="3" t="s">
        <v>172</v>
      </c>
      <c r="F198" s="3" t="s">
        <v>611</v>
      </c>
      <c r="G198" s="3" t="s">
        <v>37</v>
      </c>
      <c r="H198" s="3">
        <v>5</v>
      </c>
      <c r="I198" s="3">
        <v>1200</v>
      </c>
      <c r="J198" s="3">
        <v>6000</v>
      </c>
      <c r="K198" s="3" t="s">
        <v>106</v>
      </c>
      <c r="L198" s="3" t="str">
        <f>_xlfn.XLOOKUP(K198,Employees!$A$2:$A$51,Employees!$B$2:$B$51)</f>
        <v>Lakshmi Devi</v>
      </c>
      <c r="M198" s="3" t="str">
        <f>_xlfn.XLOOKUP(K198,Employees!$A$2:$A$51,Employees!$E$2:$E$51)</f>
        <v>Bangalore</v>
      </c>
      <c r="N198" s="3" t="s">
        <v>45</v>
      </c>
      <c r="O198" s="3" t="s">
        <v>48</v>
      </c>
      <c r="P198" s="11"/>
    </row>
    <row r="199" spans="1:16" x14ac:dyDescent="0.25">
      <c r="A199" s="3" t="s">
        <v>1052</v>
      </c>
      <c r="B199" s="6">
        <v>45860</v>
      </c>
      <c r="C199" s="3" t="s">
        <v>1053</v>
      </c>
      <c r="D199" s="3" t="s">
        <v>1054</v>
      </c>
      <c r="E199" s="3" t="s">
        <v>173</v>
      </c>
      <c r="F199" s="3" t="s">
        <v>614</v>
      </c>
      <c r="G199" s="3" t="s">
        <v>38</v>
      </c>
      <c r="H199" s="3">
        <v>3</v>
      </c>
      <c r="I199" s="3">
        <v>900</v>
      </c>
      <c r="J199" s="3">
        <v>2700</v>
      </c>
      <c r="K199" s="3" t="s">
        <v>107</v>
      </c>
      <c r="L199" s="3" t="str">
        <f>_xlfn.XLOOKUP(K199,Employees!$A$2:$A$51,Employees!$B$2:$B$51)</f>
        <v>Mohammed Ali</v>
      </c>
      <c r="M199" s="3" t="str">
        <f>_xlfn.XLOOKUP(K199,Employees!$A$2:$A$51,Employees!$E$2:$E$51)</f>
        <v>Hydrabed</v>
      </c>
      <c r="N199" s="3" t="s">
        <v>41</v>
      </c>
      <c r="O199" s="3" t="s">
        <v>49</v>
      </c>
      <c r="P199" s="11"/>
    </row>
    <row r="200" spans="1:16" x14ac:dyDescent="0.25">
      <c r="A200" s="3" t="s">
        <v>1055</v>
      </c>
      <c r="B200" s="6">
        <v>45861</v>
      </c>
      <c r="C200" s="3" t="s">
        <v>1056</v>
      </c>
      <c r="D200" s="3" t="s">
        <v>1057</v>
      </c>
      <c r="E200" s="3" t="s">
        <v>174</v>
      </c>
      <c r="F200" s="3" t="s">
        <v>617</v>
      </c>
      <c r="G200" s="3" t="s">
        <v>39</v>
      </c>
      <c r="H200" s="3">
        <v>2</v>
      </c>
      <c r="I200" s="3">
        <v>13000</v>
      </c>
      <c r="J200" s="3">
        <v>26000</v>
      </c>
      <c r="K200" s="3" t="s">
        <v>108</v>
      </c>
      <c r="L200" s="3" t="str">
        <f>_xlfn.XLOOKUP(K200,Employees!$A$2:$A$51,Employees!$B$2:$B$51)</f>
        <v>Kavya Srinivas</v>
      </c>
      <c r="M200" s="3" t="str">
        <f>_xlfn.XLOOKUP(K200,Employees!$A$2:$A$51,Employees!$E$2:$E$51)</f>
        <v>Delhi</v>
      </c>
      <c r="N200" s="3" t="s">
        <v>45</v>
      </c>
      <c r="O200" s="3" t="s">
        <v>48</v>
      </c>
      <c r="P200" s="11"/>
    </row>
    <row r="201" spans="1:16" x14ac:dyDescent="0.25">
      <c r="A201" s="3" t="s">
        <v>1058</v>
      </c>
      <c r="B201" s="6">
        <v>45862</v>
      </c>
      <c r="C201" s="3" t="s">
        <v>1059</v>
      </c>
      <c r="D201" s="3" t="s">
        <v>1060</v>
      </c>
      <c r="E201" s="3" t="s">
        <v>175</v>
      </c>
      <c r="F201" s="3" t="s">
        <v>620</v>
      </c>
      <c r="G201" s="3" t="s">
        <v>40</v>
      </c>
      <c r="H201" s="3">
        <v>6</v>
      </c>
      <c r="I201" s="3">
        <v>500</v>
      </c>
      <c r="J201" s="3">
        <v>3000</v>
      </c>
      <c r="K201" s="3" t="s">
        <v>109</v>
      </c>
      <c r="L201" s="3" t="str">
        <f>_xlfn.XLOOKUP(K201,Employees!$A$2:$A$51,Employees!$B$2:$B$51)</f>
        <v>Rakesh Sharma</v>
      </c>
      <c r="M201" s="3" t="str">
        <f>_xlfn.XLOOKUP(K201,Employees!$A$2:$A$51,Employees!$E$2:$E$51)</f>
        <v>Mumbai</v>
      </c>
      <c r="N201" s="3" t="s">
        <v>44</v>
      </c>
      <c r="O201" s="3" t="s">
        <v>46</v>
      </c>
      <c r="P201" s="11"/>
    </row>
    <row r="202" spans="1:16" x14ac:dyDescent="0.25">
      <c r="A202" s="3" t="s">
        <v>1061</v>
      </c>
      <c r="B202" s="6">
        <v>45863</v>
      </c>
      <c r="C202" s="3" t="s">
        <v>1062</v>
      </c>
      <c r="D202" s="3" t="s">
        <v>1063</v>
      </c>
      <c r="E202" s="3" t="s">
        <v>119</v>
      </c>
      <c r="F202" s="3" t="s">
        <v>533</v>
      </c>
      <c r="G202" s="3" t="s">
        <v>36</v>
      </c>
      <c r="H202" s="3">
        <v>1</v>
      </c>
      <c r="I202" s="3">
        <v>25000</v>
      </c>
      <c r="J202" s="3">
        <v>25000</v>
      </c>
      <c r="K202" s="3" t="s">
        <v>51</v>
      </c>
      <c r="L202" s="3" t="str">
        <f>_xlfn.XLOOKUP(K202,Employees!$A$2:$A$51,Employees!$B$2:$B$51)</f>
        <v>Arjun Kumar</v>
      </c>
      <c r="M202" s="3" t="str">
        <f>_xlfn.XLOOKUP(K202,Employees!$A$2:$A$51,Employees!$E$2:$E$51)</f>
        <v>Chennai</v>
      </c>
      <c r="N202" s="3" t="s">
        <v>43</v>
      </c>
      <c r="O202" s="3" t="s">
        <v>49</v>
      </c>
      <c r="P202" s="11"/>
    </row>
    <row r="203" spans="1:16" x14ac:dyDescent="0.25">
      <c r="A203" s="3" t="s">
        <v>1064</v>
      </c>
      <c r="B203" s="6">
        <v>45864</v>
      </c>
      <c r="C203" s="3" t="s">
        <v>1065</v>
      </c>
      <c r="D203" s="3" t="s">
        <v>1066</v>
      </c>
      <c r="E203" s="3" t="s">
        <v>120</v>
      </c>
      <c r="F203" s="3" t="s">
        <v>536</v>
      </c>
      <c r="G203" s="3" t="s">
        <v>37</v>
      </c>
      <c r="H203" s="3">
        <v>2</v>
      </c>
      <c r="I203" s="3">
        <v>1500</v>
      </c>
      <c r="J203" s="3">
        <v>3000</v>
      </c>
      <c r="K203" s="3" t="s">
        <v>52</v>
      </c>
      <c r="L203" s="3" t="str">
        <f>_xlfn.XLOOKUP(K203,Employees!$A$2:$A$51,Employees!$B$2:$B$51)</f>
        <v>Priya Sharma</v>
      </c>
      <c r="M203" s="3" t="str">
        <f>_xlfn.XLOOKUP(K203,Employees!$A$2:$A$51,Employees!$E$2:$E$51)</f>
        <v>Bangalore</v>
      </c>
      <c r="N203" s="3" t="s">
        <v>43</v>
      </c>
      <c r="O203" s="3" t="s">
        <v>46</v>
      </c>
      <c r="P203" s="11"/>
    </row>
    <row r="204" spans="1:16" x14ac:dyDescent="0.25">
      <c r="A204" s="3" t="s">
        <v>1067</v>
      </c>
      <c r="B204" s="6">
        <v>45865</v>
      </c>
      <c r="C204" s="3" t="s">
        <v>1068</v>
      </c>
      <c r="D204" s="3" t="s">
        <v>1069</v>
      </c>
      <c r="E204" s="3" t="s">
        <v>121</v>
      </c>
      <c r="F204" s="3" t="s">
        <v>539</v>
      </c>
      <c r="G204" s="3" t="s">
        <v>38</v>
      </c>
      <c r="H204" s="3">
        <v>10</v>
      </c>
      <c r="I204" s="3">
        <v>500</v>
      </c>
      <c r="J204" s="3">
        <v>5000</v>
      </c>
      <c r="K204" s="3" t="s">
        <v>53</v>
      </c>
      <c r="L204" s="3" t="str">
        <f>_xlfn.XLOOKUP(K204,Employees!$A$2:$A$51,Employees!$B$2:$B$51)</f>
        <v>Rahul Verma</v>
      </c>
      <c r="M204" s="3" t="str">
        <f>_xlfn.XLOOKUP(K204,Employees!$A$2:$A$51,Employees!$E$2:$E$51)</f>
        <v>Hydrabed</v>
      </c>
      <c r="N204" s="3" t="s">
        <v>42</v>
      </c>
      <c r="O204" s="3" t="s">
        <v>46</v>
      </c>
      <c r="P204" s="11"/>
    </row>
    <row r="205" spans="1:16" x14ac:dyDescent="0.25">
      <c r="A205" s="3" t="s">
        <v>1070</v>
      </c>
      <c r="B205" s="6">
        <v>45866</v>
      </c>
      <c r="C205" s="3" t="s">
        <v>1071</v>
      </c>
      <c r="D205" s="3" t="s">
        <v>1072</v>
      </c>
      <c r="E205" s="3" t="s">
        <v>122</v>
      </c>
      <c r="F205" s="3" t="s">
        <v>542</v>
      </c>
      <c r="G205" s="3" t="s">
        <v>39</v>
      </c>
      <c r="H205" s="3">
        <v>1</v>
      </c>
      <c r="I205" s="3">
        <v>12000</v>
      </c>
      <c r="J205" s="3">
        <v>12000</v>
      </c>
      <c r="K205" s="3" t="s">
        <v>54</v>
      </c>
      <c r="L205" s="3" t="str">
        <f>_xlfn.XLOOKUP(K205,Employees!$A$2:$A$51,Employees!$B$2:$B$51)</f>
        <v>Sneha Reddy</v>
      </c>
      <c r="M205" s="3" t="str">
        <f>_xlfn.XLOOKUP(K205,Employees!$A$2:$A$51,Employees!$E$2:$E$51)</f>
        <v>Chennai</v>
      </c>
      <c r="N205" s="3" t="s">
        <v>43</v>
      </c>
      <c r="O205" s="3" t="s">
        <v>47</v>
      </c>
      <c r="P205" s="11"/>
    </row>
    <row r="206" spans="1:16" x14ac:dyDescent="0.25">
      <c r="A206" s="3" t="s">
        <v>1073</v>
      </c>
      <c r="B206" s="6">
        <v>45867</v>
      </c>
      <c r="C206" s="3" t="s">
        <v>1074</v>
      </c>
      <c r="D206" s="3" t="s">
        <v>1075</v>
      </c>
      <c r="E206" s="3" t="s">
        <v>123</v>
      </c>
      <c r="F206" s="3" t="s">
        <v>545</v>
      </c>
      <c r="G206" s="3" t="s">
        <v>40</v>
      </c>
      <c r="H206" s="3">
        <v>3</v>
      </c>
      <c r="I206" s="3">
        <v>800</v>
      </c>
      <c r="J206" s="3">
        <v>2400</v>
      </c>
      <c r="K206" s="3" t="s">
        <v>55</v>
      </c>
      <c r="L206" s="3" t="str">
        <f>_xlfn.XLOOKUP(K206,Employees!$A$2:$A$51,Employees!$B$2:$B$51)</f>
        <v>Karthik Raj</v>
      </c>
      <c r="M206" s="3" t="str">
        <f>_xlfn.XLOOKUP(K206,Employees!$A$2:$A$51,Employees!$E$2:$E$51)</f>
        <v>Bangalore</v>
      </c>
      <c r="N206" s="3" t="s">
        <v>41</v>
      </c>
      <c r="O206" s="3" t="s">
        <v>47</v>
      </c>
      <c r="P206" s="11"/>
    </row>
    <row r="207" spans="1:16" x14ac:dyDescent="0.25">
      <c r="A207" s="3" t="s">
        <v>1076</v>
      </c>
      <c r="B207" s="6">
        <v>45868</v>
      </c>
      <c r="C207" s="3" t="s">
        <v>1077</v>
      </c>
      <c r="D207" s="3" t="s">
        <v>1078</v>
      </c>
      <c r="E207" s="3" t="s">
        <v>124</v>
      </c>
      <c r="F207" s="3" t="s">
        <v>548</v>
      </c>
      <c r="G207" s="3" t="s">
        <v>36</v>
      </c>
      <c r="H207" s="3">
        <v>2</v>
      </c>
      <c r="I207" s="3">
        <v>18000</v>
      </c>
      <c r="J207" s="3">
        <v>36000</v>
      </c>
      <c r="K207" s="3" t="s">
        <v>56</v>
      </c>
      <c r="L207" s="3" t="str">
        <f>_xlfn.XLOOKUP(K207,Employees!$A$2:$A$51,Employees!$B$2:$B$51)</f>
        <v xml:space="preserve">Divya Nair </v>
      </c>
      <c r="M207" s="3" t="str">
        <f>_xlfn.XLOOKUP(K207,Employees!$A$2:$A$51,Employees!$E$2:$E$51)</f>
        <v>Hydrabed</v>
      </c>
      <c r="N207" s="3" t="s">
        <v>45</v>
      </c>
      <c r="O207" s="3" t="s">
        <v>49</v>
      </c>
      <c r="P207" s="11"/>
    </row>
    <row r="208" spans="1:16" x14ac:dyDescent="0.25">
      <c r="A208" s="3" t="s">
        <v>1079</v>
      </c>
      <c r="B208" s="6">
        <v>45869</v>
      </c>
      <c r="C208" s="3" t="s">
        <v>1080</v>
      </c>
      <c r="D208" s="3" t="s">
        <v>1081</v>
      </c>
      <c r="E208" s="3" t="s">
        <v>125</v>
      </c>
      <c r="F208" s="3" t="s">
        <v>551</v>
      </c>
      <c r="G208" s="3" t="s">
        <v>37</v>
      </c>
      <c r="H208" s="3">
        <v>4</v>
      </c>
      <c r="I208" s="3">
        <v>2200</v>
      </c>
      <c r="J208" s="3">
        <v>8800</v>
      </c>
      <c r="K208" s="3" t="s">
        <v>57</v>
      </c>
      <c r="L208" s="3" t="str">
        <f>_xlfn.XLOOKUP(K208,Employees!$A$2:$A$51,Employees!$B$2:$B$51)</f>
        <v>Ajay Singh</v>
      </c>
      <c r="M208" s="3" t="str">
        <f>_xlfn.XLOOKUP(K208,Employees!$A$2:$A$51,Employees!$E$2:$E$51)</f>
        <v>Chennai</v>
      </c>
      <c r="N208" s="3" t="s">
        <v>41</v>
      </c>
      <c r="O208" s="3" t="s">
        <v>48</v>
      </c>
      <c r="P208" s="11"/>
    </row>
    <row r="209" spans="1:16" x14ac:dyDescent="0.25">
      <c r="A209" s="3" t="s">
        <v>1082</v>
      </c>
      <c r="B209" s="6">
        <v>45870</v>
      </c>
      <c r="C209" s="3" t="s">
        <v>1083</v>
      </c>
      <c r="D209" s="3" t="s">
        <v>1084</v>
      </c>
      <c r="E209" s="3" t="s">
        <v>126</v>
      </c>
      <c r="F209" s="3" t="s">
        <v>554</v>
      </c>
      <c r="G209" s="3" t="s">
        <v>38</v>
      </c>
      <c r="H209" s="3">
        <v>5</v>
      </c>
      <c r="I209" s="3">
        <v>300</v>
      </c>
      <c r="J209" s="3">
        <v>1500</v>
      </c>
      <c r="K209" s="3" t="s">
        <v>58</v>
      </c>
      <c r="L209" s="3" t="str">
        <f>_xlfn.XLOOKUP(K209,Employees!$A$2:$A$51,Employees!$B$2:$B$51)</f>
        <v>Meera Joshi</v>
      </c>
      <c r="M209" s="3" t="str">
        <f>_xlfn.XLOOKUP(K209,Employees!$A$2:$A$51,Employees!$E$2:$E$51)</f>
        <v>Mumbai</v>
      </c>
      <c r="N209" s="3" t="s">
        <v>43</v>
      </c>
      <c r="O209" s="3" t="s">
        <v>47</v>
      </c>
      <c r="P209" s="11"/>
    </row>
    <row r="210" spans="1:16" x14ac:dyDescent="0.25">
      <c r="A210" s="3" t="s">
        <v>1085</v>
      </c>
      <c r="B210" s="6">
        <v>45871</v>
      </c>
      <c r="C210" s="3" t="s">
        <v>1086</v>
      </c>
      <c r="D210" s="3" t="s">
        <v>1087</v>
      </c>
      <c r="E210" s="3" t="s">
        <v>127</v>
      </c>
      <c r="F210" s="3" t="s">
        <v>557</v>
      </c>
      <c r="G210" s="3" t="s">
        <v>39</v>
      </c>
      <c r="H210" s="3">
        <v>2</v>
      </c>
      <c r="I210" s="3">
        <v>15000</v>
      </c>
      <c r="J210" s="3">
        <v>30000</v>
      </c>
      <c r="K210" s="3" t="s">
        <v>59</v>
      </c>
      <c r="L210" s="3" t="str">
        <f>_xlfn.XLOOKUP(K210,Employees!$A$2:$A$51,Employees!$B$2:$B$51)</f>
        <v>Sanjay Kumar</v>
      </c>
      <c r="M210" s="3" t="str">
        <f>_xlfn.XLOOKUP(K210,Employees!$A$2:$A$51,Employees!$E$2:$E$51)</f>
        <v>Delhi</v>
      </c>
      <c r="N210" s="3" t="s">
        <v>44</v>
      </c>
      <c r="O210" s="3" t="s">
        <v>49</v>
      </c>
      <c r="P210" s="11"/>
    </row>
    <row r="211" spans="1:16" x14ac:dyDescent="0.25">
      <c r="A211" s="3" t="s">
        <v>1088</v>
      </c>
      <c r="B211" s="6">
        <v>45872</v>
      </c>
      <c r="C211" s="3" t="s">
        <v>1089</v>
      </c>
      <c r="D211" s="3" t="s">
        <v>1090</v>
      </c>
      <c r="E211" s="3" t="s">
        <v>128</v>
      </c>
      <c r="F211" s="3" t="s">
        <v>560</v>
      </c>
      <c r="G211" s="3" t="s">
        <v>40</v>
      </c>
      <c r="H211" s="3">
        <v>3</v>
      </c>
      <c r="I211" s="3">
        <v>1200</v>
      </c>
      <c r="J211" s="3">
        <v>3600</v>
      </c>
      <c r="K211" s="3" t="s">
        <v>60</v>
      </c>
      <c r="L211" s="3" t="str">
        <f>_xlfn.XLOOKUP(K211,Employees!$A$2:$A$51,Employees!$B$2:$B$51)</f>
        <v>Pooja Patel</v>
      </c>
      <c r="M211" s="3" t="str">
        <f>_xlfn.XLOOKUP(K211,Employees!$A$2:$A$51,Employees!$E$2:$E$51)</f>
        <v>Bangalore</v>
      </c>
      <c r="N211" s="3" t="s">
        <v>45</v>
      </c>
      <c r="O211" s="3" t="s">
        <v>48</v>
      </c>
      <c r="P211" s="11"/>
    </row>
    <row r="212" spans="1:16" x14ac:dyDescent="0.25">
      <c r="A212" s="3" t="s">
        <v>1091</v>
      </c>
      <c r="B212" s="6">
        <v>45873</v>
      </c>
      <c r="C212" s="3" t="s">
        <v>1092</v>
      </c>
      <c r="D212" s="3" t="s">
        <v>1093</v>
      </c>
      <c r="E212" s="3" t="s">
        <v>156</v>
      </c>
      <c r="F212" s="3" t="s">
        <v>563</v>
      </c>
      <c r="G212" s="3" t="s">
        <v>36</v>
      </c>
      <c r="H212" s="3">
        <v>2</v>
      </c>
      <c r="I212" s="3">
        <v>32000</v>
      </c>
      <c r="J212" s="3">
        <v>64000</v>
      </c>
      <c r="K212" s="3" t="s">
        <v>91</v>
      </c>
      <c r="L212" s="3" t="str">
        <f>_xlfn.XLOOKUP(K212,Employees!$A$2:$A$51,Employees!$B$2:$B$51)</f>
        <v>Nithya Krishnan</v>
      </c>
      <c r="M212" s="3" t="str">
        <f>_xlfn.XLOOKUP(K212,Employees!$A$2:$A$51,Employees!$E$2:$E$51)</f>
        <v>Chennai</v>
      </c>
      <c r="N212" s="3" t="s">
        <v>43</v>
      </c>
      <c r="O212" s="3" t="s">
        <v>47</v>
      </c>
      <c r="P212" s="11"/>
    </row>
    <row r="213" spans="1:16" x14ac:dyDescent="0.25">
      <c r="A213" s="3" t="s">
        <v>1094</v>
      </c>
      <c r="B213" s="6">
        <v>45874</v>
      </c>
      <c r="C213" s="3" t="s">
        <v>1095</v>
      </c>
      <c r="D213" s="3" t="s">
        <v>1096</v>
      </c>
      <c r="E213" s="3" t="s">
        <v>157</v>
      </c>
      <c r="F213" s="3" t="s">
        <v>566</v>
      </c>
      <c r="G213" s="3" t="s">
        <v>37</v>
      </c>
      <c r="H213" s="3">
        <v>1</v>
      </c>
      <c r="I213" s="3">
        <v>1800</v>
      </c>
      <c r="J213" s="3">
        <v>1800</v>
      </c>
      <c r="K213" s="3" t="s">
        <v>92</v>
      </c>
      <c r="L213" s="3" t="str">
        <f>_xlfn.XLOOKUP(K213,Employees!$A$2:$A$51,Employees!$B$2:$B$51)</f>
        <v>Rohit Mehta</v>
      </c>
      <c r="M213" s="3" t="str">
        <f>_xlfn.XLOOKUP(K213,Employees!$A$2:$A$51,Employees!$E$2:$E$51)</f>
        <v>Hydrabed</v>
      </c>
      <c r="N213" s="3" t="s">
        <v>42</v>
      </c>
      <c r="O213" s="3" t="s">
        <v>48</v>
      </c>
      <c r="P213" s="11"/>
    </row>
    <row r="214" spans="1:16" x14ac:dyDescent="0.25">
      <c r="A214" s="3" t="s">
        <v>1097</v>
      </c>
      <c r="B214" s="6">
        <v>45875</v>
      </c>
      <c r="C214" s="3" t="s">
        <v>1098</v>
      </c>
      <c r="D214" s="3" t="s">
        <v>1099</v>
      </c>
      <c r="E214" s="3" t="s">
        <v>158</v>
      </c>
      <c r="F214" s="3" t="s">
        <v>569</v>
      </c>
      <c r="G214" s="3" t="s">
        <v>38</v>
      </c>
      <c r="H214" s="3">
        <v>6</v>
      </c>
      <c r="I214" s="3">
        <v>250</v>
      </c>
      <c r="J214" s="3">
        <v>1500</v>
      </c>
      <c r="K214" s="3" t="s">
        <v>93</v>
      </c>
      <c r="L214" s="3" t="str">
        <f>_xlfn.XLOOKUP(K214,Employees!$A$2:$A$51,Employees!$B$2:$B$51)</f>
        <v>Aisha Khan</v>
      </c>
      <c r="M214" s="3" t="str">
        <f>_xlfn.XLOOKUP(K214,Employees!$A$2:$A$51,Employees!$E$2:$E$51)</f>
        <v>Delhi</v>
      </c>
      <c r="N214" s="3" t="s">
        <v>42</v>
      </c>
      <c r="O214" s="3" t="s">
        <v>48</v>
      </c>
      <c r="P214" s="11"/>
    </row>
    <row r="215" spans="1:16" x14ac:dyDescent="0.25">
      <c r="A215" s="3" t="s">
        <v>1100</v>
      </c>
      <c r="B215" s="6">
        <v>45876</v>
      </c>
      <c r="C215" s="3" t="s">
        <v>1101</v>
      </c>
      <c r="D215" s="3" t="s">
        <v>1102</v>
      </c>
      <c r="E215" s="3" t="s">
        <v>159</v>
      </c>
      <c r="F215" s="3" t="s">
        <v>572</v>
      </c>
      <c r="G215" s="3" t="s">
        <v>39</v>
      </c>
      <c r="H215" s="3">
        <v>2</v>
      </c>
      <c r="I215" s="3">
        <v>9000</v>
      </c>
      <c r="J215" s="3">
        <v>18000</v>
      </c>
      <c r="K215" s="3" t="s">
        <v>94</v>
      </c>
      <c r="L215" s="3" t="str">
        <f>_xlfn.XLOOKUP(K215,Employees!$A$2:$A$51,Employees!$B$2:$B$51)</f>
        <v>Vikram Iyer</v>
      </c>
      <c r="M215" s="3" t="str">
        <f>_xlfn.XLOOKUP(K215,Employees!$A$2:$A$51,Employees!$E$2:$E$51)</f>
        <v>Bangalore</v>
      </c>
      <c r="N215" s="3" t="s">
        <v>44</v>
      </c>
      <c r="O215" s="3" t="s">
        <v>49</v>
      </c>
      <c r="P215" s="11"/>
    </row>
    <row r="216" spans="1:16" x14ac:dyDescent="0.25">
      <c r="A216" s="3" t="s">
        <v>1103</v>
      </c>
      <c r="B216" s="6">
        <v>45877</v>
      </c>
      <c r="C216" s="3" t="s">
        <v>1104</v>
      </c>
      <c r="D216" s="3" t="s">
        <v>1105</v>
      </c>
      <c r="E216" s="3" t="s">
        <v>160</v>
      </c>
      <c r="F216" s="3" t="s">
        <v>575</v>
      </c>
      <c r="G216" s="3" t="s">
        <v>40</v>
      </c>
      <c r="H216" s="3">
        <v>4</v>
      </c>
      <c r="I216" s="3">
        <v>600</v>
      </c>
      <c r="J216" s="3">
        <v>2400</v>
      </c>
      <c r="K216" s="3" t="s">
        <v>101</v>
      </c>
      <c r="L216" s="3" t="str">
        <f>_xlfn.XLOOKUP(K216,Employees!$A$2:$A$51,Employees!$B$2:$B$51)</f>
        <v>Neha Gupta</v>
      </c>
      <c r="M216" s="3" t="str">
        <f>_xlfn.XLOOKUP(K216,Employees!$A$2:$A$51,Employees!$E$2:$E$51)</f>
        <v>Mumbai</v>
      </c>
      <c r="N216" s="3" t="s">
        <v>41</v>
      </c>
      <c r="O216" s="3" t="s">
        <v>48</v>
      </c>
      <c r="P216" s="11"/>
    </row>
    <row r="217" spans="1:16" x14ac:dyDescent="0.25">
      <c r="A217" s="3" t="s">
        <v>1106</v>
      </c>
      <c r="B217" s="6">
        <v>45878</v>
      </c>
      <c r="C217" s="3" t="s">
        <v>1107</v>
      </c>
      <c r="D217" s="3" t="s">
        <v>1108</v>
      </c>
      <c r="E217" s="3" t="s">
        <v>161</v>
      </c>
      <c r="F217" s="3" t="s">
        <v>578</v>
      </c>
      <c r="G217" s="3" t="s">
        <v>36</v>
      </c>
      <c r="H217" s="3">
        <v>3</v>
      </c>
      <c r="I217" s="3">
        <v>21000</v>
      </c>
      <c r="J217" s="3">
        <v>63000</v>
      </c>
      <c r="K217" s="3" t="s">
        <v>105</v>
      </c>
      <c r="L217" s="3" t="str">
        <f>_xlfn.XLOOKUP(K217,Employees!$A$2:$A$51,Employees!$B$2:$B$51)</f>
        <v>Harish Ramanan</v>
      </c>
      <c r="M217" s="3" t="str">
        <f>_xlfn.XLOOKUP(K217,Employees!$A$2:$A$51,Employees!$E$2:$E$51)</f>
        <v>Chennai</v>
      </c>
      <c r="N217" s="3" t="s">
        <v>42</v>
      </c>
      <c r="O217" s="3" t="s">
        <v>46</v>
      </c>
      <c r="P217" s="11"/>
    </row>
    <row r="218" spans="1:16" x14ac:dyDescent="0.25">
      <c r="A218" s="3" t="s">
        <v>1109</v>
      </c>
      <c r="B218" s="6">
        <v>45879</v>
      </c>
      <c r="C218" s="3" t="s">
        <v>1110</v>
      </c>
      <c r="D218" s="3" t="s">
        <v>1111</v>
      </c>
      <c r="E218" s="3" t="s">
        <v>162</v>
      </c>
      <c r="F218" s="3" t="s">
        <v>581</v>
      </c>
      <c r="G218" s="3" t="s">
        <v>37</v>
      </c>
      <c r="H218" s="3">
        <v>2</v>
      </c>
      <c r="I218" s="3">
        <v>2500</v>
      </c>
      <c r="J218" s="3">
        <v>5000</v>
      </c>
      <c r="K218" s="3" t="s">
        <v>106</v>
      </c>
      <c r="L218" s="3" t="str">
        <f>_xlfn.XLOOKUP(K218,Employees!$A$2:$A$51,Employees!$B$2:$B$51)</f>
        <v>Lakshmi Devi</v>
      </c>
      <c r="M218" s="3" t="str">
        <f>_xlfn.XLOOKUP(K218,Employees!$A$2:$A$51,Employees!$E$2:$E$51)</f>
        <v>Bangalore</v>
      </c>
      <c r="N218" s="3" t="s">
        <v>43</v>
      </c>
      <c r="O218" s="3" t="s">
        <v>46</v>
      </c>
      <c r="P218" s="11"/>
    </row>
    <row r="219" spans="1:16" x14ac:dyDescent="0.25">
      <c r="A219" s="3" t="s">
        <v>1112</v>
      </c>
      <c r="B219" s="6">
        <v>45880</v>
      </c>
      <c r="C219" s="3" t="s">
        <v>1113</v>
      </c>
      <c r="D219" s="3" t="s">
        <v>1114</v>
      </c>
      <c r="E219" s="3" t="s">
        <v>163</v>
      </c>
      <c r="F219" s="3" t="s">
        <v>584</v>
      </c>
      <c r="G219" s="3" t="s">
        <v>38</v>
      </c>
      <c r="H219" s="3">
        <v>8</v>
      </c>
      <c r="I219" s="3">
        <v>700</v>
      </c>
      <c r="J219" s="3">
        <v>5600</v>
      </c>
      <c r="K219" s="3" t="s">
        <v>107</v>
      </c>
      <c r="L219" s="3" t="str">
        <f>_xlfn.XLOOKUP(K219,Employees!$A$2:$A$51,Employees!$B$2:$B$51)</f>
        <v>Mohammed Ali</v>
      </c>
      <c r="M219" s="3" t="str">
        <f>_xlfn.XLOOKUP(K219,Employees!$A$2:$A$51,Employees!$E$2:$E$51)</f>
        <v>Hydrabed</v>
      </c>
      <c r="N219" s="3" t="s">
        <v>43</v>
      </c>
      <c r="O219" s="3" t="s">
        <v>47</v>
      </c>
      <c r="P219" s="11"/>
    </row>
    <row r="220" spans="1:16" x14ac:dyDescent="0.25">
      <c r="A220" s="3" t="s">
        <v>1115</v>
      </c>
      <c r="B220" s="6">
        <v>45881</v>
      </c>
      <c r="C220" s="3" t="s">
        <v>1116</v>
      </c>
      <c r="D220" s="3" t="s">
        <v>1117</v>
      </c>
      <c r="E220" s="3" t="s">
        <v>164</v>
      </c>
      <c r="F220" s="3" t="s">
        <v>587</v>
      </c>
      <c r="G220" s="3" t="s">
        <v>39</v>
      </c>
      <c r="H220" s="3">
        <v>1</v>
      </c>
      <c r="I220" s="3">
        <v>18000</v>
      </c>
      <c r="J220" s="3">
        <v>18000</v>
      </c>
      <c r="K220" s="3" t="s">
        <v>108</v>
      </c>
      <c r="L220" s="3" t="str">
        <f>_xlfn.XLOOKUP(K220,Employees!$A$2:$A$51,Employees!$B$2:$B$51)</f>
        <v>Kavya Srinivas</v>
      </c>
      <c r="M220" s="3" t="str">
        <f>_xlfn.XLOOKUP(K220,Employees!$A$2:$A$51,Employees!$E$2:$E$51)</f>
        <v>Delhi</v>
      </c>
      <c r="N220" s="3" t="s">
        <v>42</v>
      </c>
      <c r="O220" s="3" t="s">
        <v>49</v>
      </c>
      <c r="P220" s="11"/>
    </row>
    <row r="221" spans="1:16" x14ac:dyDescent="0.25">
      <c r="A221" s="3" t="s">
        <v>1118</v>
      </c>
      <c r="B221" s="6">
        <v>45882</v>
      </c>
      <c r="C221" s="3" t="s">
        <v>1119</v>
      </c>
      <c r="D221" s="3" t="s">
        <v>1120</v>
      </c>
      <c r="E221" s="3" t="s">
        <v>165</v>
      </c>
      <c r="F221" s="3" t="s">
        <v>590</v>
      </c>
      <c r="G221" s="3" t="s">
        <v>40</v>
      </c>
      <c r="H221" s="3">
        <v>5</v>
      </c>
      <c r="I221" s="3">
        <v>900</v>
      </c>
      <c r="J221" s="3">
        <v>4500</v>
      </c>
      <c r="K221" s="3" t="s">
        <v>109</v>
      </c>
      <c r="L221" s="3" t="str">
        <f>_xlfn.XLOOKUP(K221,Employees!$A$2:$A$51,Employees!$B$2:$B$51)</f>
        <v>Rakesh Sharma</v>
      </c>
      <c r="M221" s="3" t="str">
        <f>_xlfn.XLOOKUP(K221,Employees!$A$2:$A$51,Employees!$E$2:$E$51)</f>
        <v>Mumbai</v>
      </c>
      <c r="N221" s="3" t="s">
        <v>41</v>
      </c>
      <c r="O221" s="3" t="s">
        <v>46</v>
      </c>
      <c r="P221" s="11"/>
    </row>
    <row r="222" spans="1:16" x14ac:dyDescent="0.25">
      <c r="A222" s="3" t="s">
        <v>1121</v>
      </c>
      <c r="B222" s="6">
        <v>45883</v>
      </c>
      <c r="C222" s="3" t="s">
        <v>1122</v>
      </c>
      <c r="D222" s="3" t="s">
        <v>1123</v>
      </c>
      <c r="E222" s="3" t="s">
        <v>166</v>
      </c>
      <c r="F222" s="3" t="s">
        <v>593</v>
      </c>
      <c r="G222" s="3" t="s">
        <v>36</v>
      </c>
      <c r="H222" s="3">
        <v>3</v>
      </c>
      <c r="I222" s="3">
        <v>15000</v>
      </c>
      <c r="J222" s="3">
        <v>45000</v>
      </c>
      <c r="K222" s="3" t="s">
        <v>51</v>
      </c>
      <c r="L222" s="3" t="str">
        <f>_xlfn.XLOOKUP(K222,Employees!$A$2:$A$51,Employees!$B$2:$B$51)</f>
        <v>Arjun Kumar</v>
      </c>
      <c r="M222" s="3" t="str">
        <f>_xlfn.XLOOKUP(K222,Employees!$A$2:$A$51,Employees!$E$2:$E$51)</f>
        <v>Chennai</v>
      </c>
      <c r="N222" s="3" t="s">
        <v>44</v>
      </c>
      <c r="O222" s="3" t="s">
        <v>47</v>
      </c>
      <c r="P222" s="11"/>
    </row>
    <row r="223" spans="1:16" x14ac:dyDescent="0.25">
      <c r="A223" s="3" t="s">
        <v>1124</v>
      </c>
      <c r="B223" s="6">
        <v>45884</v>
      </c>
      <c r="C223" s="3" t="s">
        <v>1125</v>
      </c>
      <c r="D223" s="3" t="s">
        <v>1126</v>
      </c>
      <c r="E223" s="3" t="s">
        <v>167</v>
      </c>
      <c r="F223" s="3" t="s">
        <v>596</v>
      </c>
      <c r="G223" s="3" t="s">
        <v>37</v>
      </c>
      <c r="H223" s="3">
        <v>2</v>
      </c>
      <c r="I223" s="3">
        <v>3000</v>
      </c>
      <c r="J223" s="3">
        <v>6000</v>
      </c>
      <c r="K223" s="3" t="s">
        <v>52</v>
      </c>
      <c r="L223" s="3" t="str">
        <f>_xlfn.XLOOKUP(K223,Employees!$A$2:$A$51,Employees!$B$2:$B$51)</f>
        <v>Priya Sharma</v>
      </c>
      <c r="M223" s="3" t="str">
        <f>_xlfn.XLOOKUP(K223,Employees!$A$2:$A$51,Employees!$E$2:$E$51)</f>
        <v>Bangalore</v>
      </c>
      <c r="N223" s="3" t="s">
        <v>41</v>
      </c>
      <c r="O223" s="3" t="s">
        <v>46</v>
      </c>
      <c r="P223" s="11"/>
    </row>
    <row r="224" spans="1:16" x14ac:dyDescent="0.25">
      <c r="A224" s="3" t="s">
        <v>1127</v>
      </c>
      <c r="B224" s="6">
        <v>45885</v>
      </c>
      <c r="C224" s="3" t="s">
        <v>1128</v>
      </c>
      <c r="D224" s="3" t="s">
        <v>1129</v>
      </c>
      <c r="E224" s="3" t="s">
        <v>168</v>
      </c>
      <c r="F224" s="3" t="s">
        <v>599</v>
      </c>
      <c r="G224" s="3" t="s">
        <v>38</v>
      </c>
      <c r="H224" s="3">
        <v>7</v>
      </c>
      <c r="I224" s="3">
        <v>400</v>
      </c>
      <c r="J224" s="3">
        <v>2800</v>
      </c>
      <c r="K224" s="3" t="s">
        <v>53</v>
      </c>
      <c r="L224" s="3" t="str">
        <f>_xlfn.XLOOKUP(K224,Employees!$A$2:$A$51,Employees!$B$2:$B$51)</f>
        <v>Rahul Verma</v>
      </c>
      <c r="M224" s="3" t="str">
        <f>_xlfn.XLOOKUP(K224,Employees!$A$2:$A$51,Employees!$E$2:$E$51)</f>
        <v>Hydrabed</v>
      </c>
      <c r="N224" s="3" t="s">
        <v>42</v>
      </c>
      <c r="O224" s="3" t="s">
        <v>46</v>
      </c>
      <c r="P224" s="11"/>
    </row>
    <row r="225" spans="1:16" x14ac:dyDescent="0.25">
      <c r="A225" s="3" t="s">
        <v>1130</v>
      </c>
      <c r="B225" s="6">
        <v>45886</v>
      </c>
      <c r="C225" s="3" t="s">
        <v>1131</v>
      </c>
      <c r="D225" s="3" t="s">
        <v>1132</v>
      </c>
      <c r="E225" s="3" t="s">
        <v>169</v>
      </c>
      <c r="F225" s="3" t="s">
        <v>602</v>
      </c>
      <c r="G225" s="3" t="s">
        <v>39</v>
      </c>
      <c r="H225" s="3">
        <v>1</v>
      </c>
      <c r="I225" s="3">
        <v>11000</v>
      </c>
      <c r="J225" s="3">
        <v>11000</v>
      </c>
      <c r="K225" s="3" t="s">
        <v>54</v>
      </c>
      <c r="L225" s="3" t="str">
        <f>_xlfn.XLOOKUP(K225,Employees!$A$2:$A$51,Employees!$B$2:$B$51)</f>
        <v>Sneha Reddy</v>
      </c>
      <c r="M225" s="3" t="str">
        <f>_xlfn.XLOOKUP(K225,Employees!$A$2:$A$51,Employees!$E$2:$E$51)</f>
        <v>Chennai</v>
      </c>
      <c r="N225" s="3" t="s">
        <v>42</v>
      </c>
      <c r="O225" s="3" t="s">
        <v>47</v>
      </c>
      <c r="P225" s="11"/>
    </row>
    <row r="226" spans="1:16" x14ac:dyDescent="0.25">
      <c r="A226" s="3" t="s">
        <v>1133</v>
      </c>
      <c r="B226" s="6">
        <v>45887</v>
      </c>
      <c r="C226" s="3" t="s">
        <v>1134</v>
      </c>
      <c r="D226" s="3" t="s">
        <v>1135</v>
      </c>
      <c r="E226" s="3" t="s">
        <v>170</v>
      </c>
      <c r="F226" s="3" t="s">
        <v>605</v>
      </c>
      <c r="G226" s="3" t="s">
        <v>40</v>
      </c>
      <c r="H226" s="3">
        <v>4</v>
      </c>
      <c r="I226" s="3">
        <v>750</v>
      </c>
      <c r="J226" s="3">
        <v>3000</v>
      </c>
      <c r="K226" s="3" t="s">
        <v>55</v>
      </c>
      <c r="L226" s="3" t="str">
        <f>_xlfn.XLOOKUP(K226,Employees!$A$2:$A$51,Employees!$B$2:$B$51)</f>
        <v>Karthik Raj</v>
      </c>
      <c r="M226" s="3" t="str">
        <f>_xlfn.XLOOKUP(K226,Employees!$A$2:$A$51,Employees!$E$2:$E$51)</f>
        <v>Bangalore</v>
      </c>
      <c r="N226" s="3" t="s">
        <v>41</v>
      </c>
      <c r="O226" s="3" t="s">
        <v>48</v>
      </c>
      <c r="P226" s="11"/>
    </row>
    <row r="227" spans="1:16" x14ac:dyDescent="0.25">
      <c r="A227" s="3" t="s">
        <v>1136</v>
      </c>
      <c r="B227" s="6">
        <v>45888</v>
      </c>
      <c r="C227" s="3" t="s">
        <v>1137</v>
      </c>
      <c r="D227" s="3" t="s">
        <v>1138</v>
      </c>
      <c r="E227" s="3" t="s">
        <v>171</v>
      </c>
      <c r="F227" s="3" t="s">
        <v>608</v>
      </c>
      <c r="G227" s="3" t="s">
        <v>36</v>
      </c>
      <c r="H227" s="3">
        <v>2</v>
      </c>
      <c r="I227" s="3">
        <v>28000</v>
      </c>
      <c r="J227" s="3">
        <v>56000</v>
      </c>
      <c r="K227" s="3" t="s">
        <v>56</v>
      </c>
      <c r="L227" s="3" t="str">
        <f>_xlfn.XLOOKUP(K227,Employees!$A$2:$A$51,Employees!$B$2:$B$51)</f>
        <v xml:space="preserve">Divya Nair </v>
      </c>
      <c r="M227" s="3" t="str">
        <f>_xlfn.XLOOKUP(K227,Employees!$A$2:$A$51,Employees!$E$2:$E$51)</f>
        <v>Hydrabed</v>
      </c>
      <c r="N227" s="3" t="s">
        <v>43</v>
      </c>
      <c r="O227" s="3" t="s">
        <v>49</v>
      </c>
      <c r="P227" s="11"/>
    </row>
    <row r="228" spans="1:16" x14ac:dyDescent="0.25">
      <c r="A228" s="3" t="s">
        <v>1139</v>
      </c>
      <c r="B228" s="6">
        <v>45889</v>
      </c>
      <c r="C228" s="3" t="s">
        <v>1140</v>
      </c>
      <c r="D228" s="3" t="s">
        <v>1141</v>
      </c>
      <c r="E228" s="3" t="s">
        <v>172</v>
      </c>
      <c r="F228" s="3" t="s">
        <v>611</v>
      </c>
      <c r="G228" s="3" t="s">
        <v>37</v>
      </c>
      <c r="H228" s="3">
        <v>5</v>
      </c>
      <c r="I228" s="3">
        <v>1200</v>
      </c>
      <c r="J228" s="3">
        <v>6000</v>
      </c>
      <c r="K228" s="3" t="s">
        <v>57</v>
      </c>
      <c r="L228" s="3" t="str">
        <f>_xlfn.XLOOKUP(K228,Employees!$A$2:$A$51,Employees!$B$2:$B$51)</f>
        <v>Ajay Singh</v>
      </c>
      <c r="M228" s="3" t="str">
        <f>_xlfn.XLOOKUP(K228,Employees!$A$2:$A$51,Employees!$E$2:$E$51)</f>
        <v>Chennai</v>
      </c>
      <c r="N228" s="3" t="s">
        <v>45</v>
      </c>
      <c r="O228" s="3" t="s">
        <v>47</v>
      </c>
      <c r="P228" s="11"/>
    </row>
    <row r="229" spans="1:16" x14ac:dyDescent="0.25">
      <c r="A229" s="3" t="s">
        <v>1142</v>
      </c>
      <c r="B229" s="6">
        <v>45890</v>
      </c>
      <c r="C229" s="3" t="s">
        <v>1143</v>
      </c>
      <c r="D229" s="3" t="s">
        <v>1144</v>
      </c>
      <c r="E229" s="3" t="s">
        <v>173</v>
      </c>
      <c r="F229" s="3" t="s">
        <v>614</v>
      </c>
      <c r="G229" s="3" t="s">
        <v>38</v>
      </c>
      <c r="H229" s="3">
        <v>3</v>
      </c>
      <c r="I229" s="3">
        <v>900</v>
      </c>
      <c r="J229" s="3">
        <v>2700</v>
      </c>
      <c r="K229" s="3" t="s">
        <v>58</v>
      </c>
      <c r="L229" s="3" t="str">
        <f>_xlfn.XLOOKUP(K229,Employees!$A$2:$A$51,Employees!$B$2:$B$51)</f>
        <v>Meera Joshi</v>
      </c>
      <c r="M229" s="3" t="str">
        <f>_xlfn.XLOOKUP(K229,Employees!$A$2:$A$51,Employees!$E$2:$E$51)</f>
        <v>Mumbai</v>
      </c>
      <c r="N229" s="3" t="s">
        <v>41</v>
      </c>
      <c r="O229" s="3" t="s">
        <v>47</v>
      </c>
      <c r="P229" s="11"/>
    </row>
    <row r="230" spans="1:16" x14ac:dyDescent="0.25">
      <c r="A230" s="3" t="s">
        <v>1145</v>
      </c>
      <c r="B230" s="6">
        <v>45891</v>
      </c>
      <c r="C230" s="3" t="s">
        <v>1146</v>
      </c>
      <c r="D230" s="3" t="s">
        <v>1147</v>
      </c>
      <c r="E230" s="3" t="s">
        <v>174</v>
      </c>
      <c r="F230" s="3" t="s">
        <v>617</v>
      </c>
      <c r="G230" s="3" t="s">
        <v>39</v>
      </c>
      <c r="H230" s="3">
        <v>2</v>
      </c>
      <c r="I230" s="3">
        <v>13000</v>
      </c>
      <c r="J230" s="3">
        <v>26000</v>
      </c>
      <c r="K230" s="3" t="s">
        <v>59</v>
      </c>
      <c r="L230" s="3" t="str">
        <f>_xlfn.XLOOKUP(K230,Employees!$A$2:$A$51,Employees!$B$2:$B$51)</f>
        <v>Sanjay Kumar</v>
      </c>
      <c r="M230" s="3" t="str">
        <f>_xlfn.XLOOKUP(K230,Employees!$A$2:$A$51,Employees!$E$2:$E$51)</f>
        <v>Delhi</v>
      </c>
      <c r="N230" s="3" t="s">
        <v>45</v>
      </c>
      <c r="O230" s="3" t="s">
        <v>46</v>
      </c>
      <c r="P230" s="11"/>
    </row>
    <row r="231" spans="1:16" x14ac:dyDescent="0.25">
      <c r="A231" s="3" t="s">
        <v>1148</v>
      </c>
      <c r="B231" s="6">
        <v>45892</v>
      </c>
      <c r="C231" s="3" t="s">
        <v>1149</v>
      </c>
      <c r="D231" s="3" t="s">
        <v>1150</v>
      </c>
      <c r="E231" s="3" t="s">
        <v>175</v>
      </c>
      <c r="F231" s="3" t="s">
        <v>620</v>
      </c>
      <c r="G231" s="3" t="s">
        <v>40</v>
      </c>
      <c r="H231" s="3">
        <v>6</v>
      </c>
      <c r="I231" s="3">
        <v>500</v>
      </c>
      <c r="J231" s="3">
        <v>3000</v>
      </c>
      <c r="K231" s="3" t="s">
        <v>60</v>
      </c>
      <c r="L231" s="3" t="str">
        <f>_xlfn.XLOOKUP(K231,Employees!$A$2:$A$51,Employees!$B$2:$B$51)</f>
        <v>Pooja Patel</v>
      </c>
      <c r="M231" s="3" t="str">
        <f>_xlfn.XLOOKUP(K231,Employees!$A$2:$A$51,Employees!$E$2:$E$51)</f>
        <v>Bangalore</v>
      </c>
      <c r="N231" s="3" t="s">
        <v>41</v>
      </c>
      <c r="O231" s="3" t="s">
        <v>47</v>
      </c>
      <c r="P231" s="11"/>
    </row>
    <row r="232" spans="1:16" x14ac:dyDescent="0.25">
      <c r="A232" s="3" t="s">
        <v>1151</v>
      </c>
      <c r="B232" s="6">
        <v>45893</v>
      </c>
      <c r="C232" s="3" t="s">
        <v>1152</v>
      </c>
      <c r="D232" s="3" t="s">
        <v>1153</v>
      </c>
      <c r="E232" s="3" t="s">
        <v>119</v>
      </c>
      <c r="F232" s="3" t="s">
        <v>533</v>
      </c>
      <c r="G232" s="3" t="s">
        <v>36</v>
      </c>
      <c r="H232" s="3">
        <v>1</v>
      </c>
      <c r="I232" s="3">
        <v>25000</v>
      </c>
      <c r="J232" s="3">
        <v>25000</v>
      </c>
      <c r="K232" s="3" t="s">
        <v>91</v>
      </c>
      <c r="L232" s="3" t="str">
        <f>_xlfn.XLOOKUP(K232,Employees!$A$2:$A$51,Employees!$B$2:$B$51)</f>
        <v>Nithya Krishnan</v>
      </c>
      <c r="M232" s="3" t="str">
        <f>_xlfn.XLOOKUP(K232,Employees!$A$2:$A$51,Employees!$E$2:$E$51)</f>
        <v>Chennai</v>
      </c>
      <c r="N232" s="3" t="s">
        <v>45</v>
      </c>
      <c r="O232" s="3" t="s">
        <v>49</v>
      </c>
      <c r="P232" s="11"/>
    </row>
    <row r="233" spans="1:16" x14ac:dyDescent="0.25">
      <c r="A233" s="3" t="s">
        <v>1154</v>
      </c>
      <c r="B233" s="6">
        <v>45894</v>
      </c>
      <c r="C233" s="3" t="s">
        <v>1155</v>
      </c>
      <c r="D233" s="3" t="s">
        <v>1156</v>
      </c>
      <c r="E233" s="3" t="s">
        <v>120</v>
      </c>
      <c r="F233" s="3" t="s">
        <v>536</v>
      </c>
      <c r="G233" s="3" t="s">
        <v>37</v>
      </c>
      <c r="H233" s="3">
        <v>2</v>
      </c>
      <c r="I233" s="3">
        <v>1500</v>
      </c>
      <c r="J233" s="3">
        <v>3000</v>
      </c>
      <c r="K233" s="3" t="s">
        <v>92</v>
      </c>
      <c r="L233" s="3" t="str">
        <f>_xlfn.XLOOKUP(K233,Employees!$A$2:$A$51,Employees!$B$2:$B$51)</f>
        <v>Rohit Mehta</v>
      </c>
      <c r="M233" s="3" t="str">
        <f>_xlfn.XLOOKUP(K233,Employees!$A$2:$A$51,Employees!$E$2:$E$51)</f>
        <v>Hydrabed</v>
      </c>
      <c r="N233" s="3" t="s">
        <v>43</v>
      </c>
      <c r="O233" s="3" t="s">
        <v>48</v>
      </c>
      <c r="P233" s="11"/>
    </row>
    <row r="234" spans="1:16" x14ac:dyDescent="0.25">
      <c r="A234" s="3" t="s">
        <v>1157</v>
      </c>
      <c r="B234" s="6">
        <v>45895</v>
      </c>
      <c r="C234" s="3" t="s">
        <v>1158</v>
      </c>
      <c r="D234" s="3" t="s">
        <v>1159</v>
      </c>
      <c r="E234" s="3" t="s">
        <v>121</v>
      </c>
      <c r="F234" s="3" t="s">
        <v>539</v>
      </c>
      <c r="G234" s="3" t="s">
        <v>38</v>
      </c>
      <c r="H234" s="3">
        <v>10</v>
      </c>
      <c r="I234" s="3">
        <v>500</v>
      </c>
      <c r="J234" s="3">
        <v>5000</v>
      </c>
      <c r="K234" s="3" t="s">
        <v>93</v>
      </c>
      <c r="L234" s="3" t="str">
        <f>_xlfn.XLOOKUP(K234,Employees!$A$2:$A$51,Employees!$B$2:$B$51)</f>
        <v>Aisha Khan</v>
      </c>
      <c r="M234" s="3" t="str">
        <f>_xlfn.XLOOKUP(K234,Employees!$A$2:$A$51,Employees!$E$2:$E$51)</f>
        <v>Delhi</v>
      </c>
      <c r="N234" s="3" t="s">
        <v>42</v>
      </c>
      <c r="O234" s="3" t="s">
        <v>49</v>
      </c>
      <c r="P234" s="11"/>
    </row>
    <row r="235" spans="1:16" x14ac:dyDescent="0.25">
      <c r="A235" s="3" t="s">
        <v>1160</v>
      </c>
      <c r="B235" s="6">
        <v>45896</v>
      </c>
      <c r="C235" s="3" t="s">
        <v>1161</v>
      </c>
      <c r="D235" s="3" t="s">
        <v>1162</v>
      </c>
      <c r="E235" s="3" t="s">
        <v>122</v>
      </c>
      <c r="F235" s="3" t="s">
        <v>542</v>
      </c>
      <c r="G235" s="3" t="s">
        <v>39</v>
      </c>
      <c r="H235" s="3">
        <v>1</v>
      </c>
      <c r="I235" s="3">
        <v>12000</v>
      </c>
      <c r="J235" s="3">
        <v>12000</v>
      </c>
      <c r="K235" s="3" t="s">
        <v>94</v>
      </c>
      <c r="L235" s="3" t="str">
        <f>_xlfn.XLOOKUP(K235,Employees!$A$2:$A$51,Employees!$B$2:$B$51)</f>
        <v>Vikram Iyer</v>
      </c>
      <c r="M235" s="3" t="str">
        <f>_xlfn.XLOOKUP(K235,Employees!$A$2:$A$51,Employees!$E$2:$E$51)</f>
        <v>Bangalore</v>
      </c>
      <c r="N235" s="3" t="s">
        <v>45</v>
      </c>
      <c r="O235" s="3" t="s">
        <v>46</v>
      </c>
      <c r="P235" s="11"/>
    </row>
    <row r="236" spans="1:16" x14ac:dyDescent="0.25">
      <c r="A236" s="3" t="s">
        <v>1163</v>
      </c>
      <c r="B236" s="6">
        <v>45897</v>
      </c>
      <c r="C236" s="3" t="s">
        <v>1164</v>
      </c>
      <c r="D236" s="3" t="s">
        <v>1165</v>
      </c>
      <c r="E236" s="3" t="s">
        <v>123</v>
      </c>
      <c r="F236" s="3" t="s">
        <v>545</v>
      </c>
      <c r="G236" s="3" t="s">
        <v>40</v>
      </c>
      <c r="H236" s="3">
        <v>3</v>
      </c>
      <c r="I236" s="3">
        <v>800</v>
      </c>
      <c r="J236" s="3">
        <v>2400</v>
      </c>
      <c r="K236" s="3" t="s">
        <v>101</v>
      </c>
      <c r="L236" s="3" t="str">
        <f>_xlfn.XLOOKUP(K236,Employees!$A$2:$A$51,Employees!$B$2:$B$51)</f>
        <v>Neha Gupta</v>
      </c>
      <c r="M236" s="3" t="str">
        <f>_xlfn.XLOOKUP(K236,Employees!$A$2:$A$51,Employees!$E$2:$E$51)</f>
        <v>Mumbai</v>
      </c>
      <c r="N236" s="3" t="s">
        <v>42</v>
      </c>
      <c r="O236" s="3" t="s">
        <v>48</v>
      </c>
      <c r="P236" s="11"/>
    </row>
    <row r="237" spans="1:16" x14ac:dyDescent="0.25">
      <c r="A237" s="3" t="s">
        <v>1166</v>
      </c>
      <c r="B237" s="6">
        <v>45898</v>
      </c>
      <c r="C237" s="3" t="s">
        <v>1167</v>
      </c>
      <c r="D237" s="3" t="s">
        <v>1168</v>
      </c>
      <c r="E237" s="3" t="s">
        <v>124</v>
      </c>
      <c r="F237" s="3" t="s">
        <v>548</v>
      </c>
      <c r="G237" s="3" t="s">
        <v>36</v>
      </c>
      <c r="H237" s="3">
        <v>2</v>
      </c>
      <c r="I237" s="3">
        <v>18000</v>
      </c>
      <c r="J237" s="3">
        <v>36000</v>
      </c>
      <c r="K237" s="3" t="s">
        <v>105</v>
      </c>
      <c r="L237" s="3" t="str">
        <f>_xlfn.XLOOKUP(K237,Employees!$A$2:$A$51,Employees!$B$2:$B$51)</f>
        <v>Harish Ramanan</v>
      </c>
      <c r="M237" s="3" t="str">
        <f>_xlfn.XLOOKUP(K237,Employees!$A$2:$A$51,Employees!$E$2:$E$51)</f>
        <v>Chennai</v>
      </c>
      <c r="N237" s="3" t="s">
        <v>44</v>
      </c>
      <c r="O237" s="3" t="s">
        <v>46</v>
      </c>
      <c r="P237" s="11"/>
    </row>
    <row r="238" spans="1:16" x14ac:dyDescent="0.25">
      <c r="A238" s="3" t="s">
        <v>1169</v>
      </c>
      <c r="B238" s="6">
        <v>45899</v>
      </c>
      <c r="C238" s="3" t="s">
        <v>1170</v>
      </c>
      <c r="D238" s="3" t="s">
        <v>1171</v>
      </c>
      <c r="E238" s="3" t="s">
        <v>125</v>
      </c>
      <c r="F238" s="3" t="s">
        <v>551</v>
      </c>
      <c r="G238" s="3" t="s">
        <v>37</v>
      </c>
      <c r="H238" s="3">
        <v>4</v>
      </c>
      <c r="I238" s="3">
        <v>2200</v>
      </c>
      <c r="J238" s="3">
        <v>8800</v>
      </c>
      <c r="K238" s="3" t="s">
        <v>106</v>
      </c>
      <c r="L238" s="3" t="str">
        <f>_xlfn.XLOOKUP(K238,Employees!$A$2:$A$51,Employees!$B$2:$B$51)</f>
        <v>Lakshmi Devi</v>
      </c>
      <c r="M238" s="3" t="str">
        <f>_xlfn.XLOOKUP(K238,Employees!$A$2:$A$51,Employees!$E$2:$E$51)</f>
        <v>Bangalore</v>
      </c>
      <c r="N238" s="3" t="s">
        <v>45</v>
      </c>
      <c r="O238" s="3" t="s">
        <v>47</v>
      </c>
      <c r="P238" s="11"/>
    </row>
    <row r="239" spans="1:16" x14ac:dyDescent="0.25">
      <c r="A239" s="3" t="s">
        <v>1172</v>
      </c>
      <c r="B239" s="6">
        <v>45900</v>
      </c>
      <c r="C239" s="3" t="s">
        <v>1173</v>
      </c>
      <c r="D239" s="3" t="s">
        <v>1174</v>
      </c>
      <c r="E239" s="3" t="s">
        <v>126</v>
      </c>
      <c r="F239" s="3" t="s">
        <v>554</v>
      </c>
      <c r="G239" s="3" t="s">
        <v>38</v>
      </c>
      <c r="H239" s="3">
        <v>5</v>
      </c>
      <c r="I239" s="3">
        <v>300</v>
      </c>
      <c r="J239" s="3">
        <v>1500</v>
      </c>
      <c r="K239" s="3" t="s">
        <v>107</v>
      </c>
      <c r="L239" s="3" t="str">
        <f>_xlfn.XLOOKUP(K239,Employees!$A$2:$A$51,Employees!$B$2:$B$51)</f>
        <v>Mohammed Ali</v>
      </c>
      <c r="M239" s="3" t="str">
        <f>_xlfn.XLOOKUP(K239,Employees!$A$2:$A$51,Employees!$E$2:$E$51)</f>
        <v>Hydrabed</v>
      </c>
      <c r="N239" s="3" t="s">
        <v>42</v>
      </c>
      <c r="O239" s="3" t="s">
        <v>48</v>
      </c>
      <c r="P239" s="11"/>
    </row>
    <row r="240" spans="1:16" x14ac:dyDescent="0.25">
      <c r="A240" s="3" t="s">
        <v>1175</v>
      </c>
      <c r="B240" s="6">
        <v>45901</v>
      </c>
      <c r="C240" s="3" t="s">
        <v>1176</v>
      </c>
      <c r="D240" s="3" t="s">
        <v>1177</v>
      </c>
      <c r="E240" s="3" t="s">
        <v>127</v>
      </c>
      <c r="F240" s="3" t="s">
        <v>557</v>
      </c>
      <c r="G240" s="3" t="s">
        <v>39</v>
      </c>
      <c r="H240" s="3">
        <v>2</v>
      </c>
      <c r="I240" s="3">
        <v>15000</v>
      </c>
      <c r="J240" s="3">
        <v>30000</v>
      </c>
      <c r="K240" s="3" t="s">
        <v>108</v>
      </c>
      <c r="L240" s="3" t="str">
        <f>_xlfn.XLOOKUP(K240,Employees!$A$2:$A$51,Employees!$B$2:$B$51)</f>
        <v>Kavya Srinivas</v>
      </c>
      <c r="M240" s="3" t="str">
        <f>_xlfn.XLOOKUP(K240,Employees!$A$2:$A$51,Employees!$E$2:$E$51)</f>
        <v>Delhi</v>
      </c>
      <c r="N240" s="3" t="s">
        <v>42</v>
      </c>
      <c r="O240" s="3" t="s">
        <v>47</v>
      </c>
      <c r="P240" s="11"/>
    </row>
    <row r="241" spans="1:16" x14ac:dyDescent="0.25">
      <c r="A241" s="3" t="s">
        <v>1178</v>
      </c>
      <c r="B241" s="6">
        <v>45902</v>
      </c>
      <c r="C241" s="3" t="s">
        <v>1179</v>
      </c>
      <c r="D241" s="3" t="s">
        <v>1180</v>
      </c>
      <c r="E241" s="3" t="s">
        <v>128</v>
      </c>
      <c r="F241" s="3" t="s">
        <v>560</v>
      </c>
      <c r="G241" s="3" t="s">
        <v>40</v>
      </c>
      <c r="H241" s="3">
        <v>3</v>
      </c>
      <c r="I241" s="3">
        <v>1200</v>
      </c>
      <c r="J241" s="3">
        <v>3600</v>
      </c>
      <c r="K241" s="3" t="s">
        <v>109</v>
      </c>
      <c r="L241" s="3" t="str">
        <f>_xlfn.XLOOKUP(K241,Employees!$A$2:$A$51,Employees!$B$2:$B$51)</f>
        <v>Rakesh Sharma</v>
      </c>
      <c r="M241" s="3" t="str">
        <f>_xlfn.XLOOKUP(K241,Employees!$A$2:$A$51,Employees!$E$2:$E$51)</f>
        <v>Mumbai</v>
      </c>
      <c r="N241" s="3" t="s">
        <v>41</v>
      </c>
      <c r="O241" s="3" t="s">
        <v>46</v>
      </c>
      <c r="P241" s="11"/>
    </row>
    <row r="242" spans="1:16" x14ac:dyDescent="0.25">
      <c r="A242" s="3" t="s">
        <v>1181</v>
      </c>
      <c r="B242" s="6">
        <v>45903</v>
      </c>
      <c r="C242" s="3" t="s">
        <v>1182</v>
      </c>
      <c r="D242" s="3" t="s">
        <v>1183</v>
      </c>
      <c r="E242" s="3" t="s">
        <v>156</v>
      </c>
      <c r="F242" s="3" t="s">
        <v>563</v>
      </c>
      <c r="G242" s="3" t="s">
        <v>36</v>
      </c>
      <c r="H242" s="3">
        <v>2</v>
      </c>
      <c r="I242" s="3">
        <v>32000</v>
      </c>
      <c r="J242" s="3">
        <v>64000</v>
      </c>
      <c r="K242" s="3" t="s">
        <v>51</v>
      </c>
      <c r="L242" s="3" t="str">
        <f>_xlfn.XLOOKUP(K242,Employees!$A$2:$A$51,Employees!$B$2:$B$51)</f>
        <v>Arjun Kumar</v>
      </c>
      <c r="M242" s="3" t="str">
        <f>_xlfn.XLOOKUP(K242,Employees!$A$2:$A$51,Employees!$E$2:$E$51)</f>
        <v>Chennai</v>
      </c>
      <c r="N242" s="3" t="s">
        <v>44</v>
      </c>
      <c r="O242" s="3" t="s">
        <v>49</v>
      </c>
      <c r="P242" s="11"/>
    </row>
    <row r="243" spans="1:16" x14ac:dyDescent="0.25">
      <c r="A243" s="3" t="s">
        <v>1184</v>
      </c>
      <c r="B243" s="6">
        <v>45904</v>
      </c>
      <c r="C243" s="3" t="s">
        <v>1185</v>
      </c>
      <c r="D243" s="3" t="s">
        <v>1186</v>
      </c>
      <c r="E243" s="3" t="s">
        <v>157</v>
      </c>
      <c r="F243" s="3" t="s">
        <v>566</v>
      </c>
      <c r="G243" s="3" t="s">
        <v>37</v>
      </c>
      <c r="H243" s="3">
        <v>1</v>
      </c>
      <c r="I243" s="3">
        <v>1800</v>
      </c>
      <c r="J243" s="3">
        <v>1800</v>
      </c>
      <c r="K243" s="3" t="s">
        <v>52</v>
      </c>
      <c r="L243" s="3" t="str">
        <f>_xlfn.XLOOKUP(K243,Employees!$A$2:$A$51,Employees!$B$2:$B$51)</f>
        <v>Priya Sharma</v>
      </c>
      <c r="M243" s="3" t="str">
        <f>_xlfn.XLOOKUP(K243,Employees!$A$2:$A$51,Employees!$E$2:$E$51)</f>
        <v>Bangalore</v>
      </c>
      <c r="N243" s="3" t="s">
        <v>42</v>
      </c>
      <c r="O243" s="3" t="s">
        <v>46</v>
      </c>
      <c r="P243" s="11"/>
    </row>
    <row r="244" spans="1:16" x14ac:dyDescent="0.25">
      <c r="A244" s="3" t="s">
        <v>1187</v>
      </c>
      <c r="B244" s="6">
        <v>45905</v>
      </c>
      <c r="C244" s="3" t="s">
        <v>1188</v>
      </c>
      <c r="D244" s="3" t="s">
        <v>1189</v>
      </c>
      <c r="E244" s="3" t="s">
        <v>158</v>
      </c>
      <c r="F244" s="3" t="s">
        <v>569</v>
      </c>
      <c r="G244" s="3" t="s">
        <v>38</v>
      </c>
      <c r="H244" s="3">
        <v>6</v>
      </c>
      <c r="I244" s="3">
        <v>250</v>
      </c>
      <c r="J244" s="3">
        <v>1500</v>
      </c>
      <c r="K244" s="3" t="s">
        <v>53</v>
      </c>
      <c r="L244" s="3" t="str">
        <f>_xlfn.XLOOKUP(K244,Employees!$A$2:$A$51,Employees!$B$2:$B$51)</f>
        <v>Rahul Verma</v>
      </c>
      <c r="M244" s="3" t="str">
        <f>_xlfn.XLOOKUP(K244,Employees!$A$2:$A$51,Employees!$E$2:$E$51)</f>
        <v>Hydrabed</v>
      </c>
      <c r="N244" s="3" t="s">
        <v>43</v>
      </c>
      <c r="O244" s="3" t="s">
        <v>46</v>
      </c>
      <c r="P244" s="11"/>
    </row>
    <row r="245" spans="1:16" x14ac:dyDescent="0.25">
      <c r="A245" s="3" t="s">
        <v>1190</v>
      </c>
      <c r="B245" s="6">
        <v>45906</v>
      </c>
      <c r="C245" s="3" t="s">
        <v>1191</v>
      </c>
      <c r="D245" s="3" t="s">
        <v>1192</v>
      </c>
      <c r="E245" s="3" t="s">
        <v>159</v>
      </c>
      <c r="F245" s="3" t="s">
        <v>572</v>
      </c>
      <c r="G245" s="3" t="s">
        <v>39</v>
      </c>
      <c r="H245" s="3">
        <v>2</v>
      </c>
      <c r="I245" s="3">
        <v>9000</v>
      </c>
      <c r="J245" s="3">
        <v>18000</v>
      </c>
      <c r="K245" s="3" t="s">
        <v>54</v>
      </c>
      <c r="L245" s="3" t="str">
        <f>_xlfn.XLOOKUP(K245,Employees!$A$2:$A$51,Employees!$B$2:$B$51)</f>
        <v>Sneha Reddy</v>
      </c>
      <c r="M245" s="3" t="str">
        <f>_xlfn.XLOOKUP(K245,Employees!$A$2:$A$51,Employees!$E$2:$E$51)</f>
        <v>Chennai</v>
      </c>
      <c r="N245" s="3" t="s">
        <v>41</v>
      </c>
      <c r="O245" s="3" t="s">
        <v>48</v>
      </c>
      <c r="P245" s="11"/>
    </row>
    <row r="246" spans="1:16" x14ac:dyDescent="0.25">
      <c r="A246" s="3" t="s">
        <v>1193</v>
      </c>
      <c r="B246" s="6">
        <v>45907</v>
      </c>
      <c r="C246" s="3" t="s">
        <v>1194</v>
      </c>
      <c r="D246" s="3" t="s">
        <v>1195</v>
      </c>
      <c r="E246" s="3" t="s">
        <v>160</v>
      </c>
      <c r="F246" s="3" t="s">
        <v>575</v>
      </c>
      <c r="G246" s="3" t="s">
        <v>40</v>
      </c>
      <c r="H246" s="3">
        <v>4</v>
      </c>
      <c r="I246" s="3">
        <v>600</v>
      </c>
      <c r="J246" s="3">
        <v>2400</v>
      </c>
      <c r="K246" s="3" t="s">
        <v>55</v>
      </c>
      <c r="L246" s="3" t="str">
        <f>_xlfn.XLOOKUP(K246,Employees!$A$2:$A$51,Employees!$B$2:$B$51)</f>
        <v>Karthik Raj</v>
      </c>
      <c r="M246" s="3" t="str">
        <f>_xlfn.XLOOKUP(K246,Employees!$A$2:$A$51,Employees!$E$2:$E$51)</f>
        <v>Bangalore</v>
      </c>
      <c r="N246" s="3" t="s">
        <v>42</v>
      </c>
      <c r="O246" s="3" t="s">
        <v>49</v>
      </c>
      <c r="P246" s="11"/>
    </row>
    <row r="247" spans="1:16" x14ac:dyDescent="0.25">
      <c r="A247" s="3" t="s">
        <v>1196</v>
      </c>
      <c r="B247" s="6">
        <v>45908</v>
      </c>
      <c r="C247" s="3" t="s">
        <v>1197</v>
      </c>
      <c r="D247" s="3" t="s">
        <v>1198</v>
      </c>
      <c r="E247" s="3" t="s">
        <v>161</v>
      </c>
      <c r="F247" s="3" t="s">
        <v>578</v>
      </c>
      <c r="G247" s="3" t="s">
        <v>36</v>
      </c>
      <c r="H247" s="3">
        <v>3</v>
      </c>
      <c r="I247" s="3">
        <v>21000</v>
      </c>
      <c r="J247" s="3">
        <v>63000</v>
      </c>
      <c r="K247" s="3" t="s">
        <v>56</v>
      </c>
      <c r="L247" s="3" t="str">
        <f>_xlfn.XLOOKUP(K247,Employees!$A$2:$A$51,Employees!$B$2:$B$51)</f>
        <v xml:space="preserve">Divya Nair </v>
      </c>
      <c r="M247" s="3" t="str">
        <f>_xlfn.XLOOKUP(K247,Employees!$A$2:$A$51,Employees!$E$2:$E$51)</f>
        <v>Hydrabed</v>
      </c>
      <c r="N247" s="3" t="s">
        <v>45</v>
      </c>
      <c r="O247" s="3" t="s">
        <v>48</v>
      </c>
      <c r="P247" s="11"/>
    </row>
    <row r="248" spans="1:16" x14ac:dyDescent="0.25">
      <c r="A248" s="3" t="s">
        <v>1199</v>
      </c>
      <c r="B248" s="6">
        <v>45909</v>
      </c>
      <c r="C248" s="3" t="s">
        <v>1200</v>
      </c>
      <c r="D248" s="3" t="s">
        <v>1201</v>
      </c>
      <c r="E248" s="3" t="s">
        <v>162</v>
      </c>
      <c r="F248" s="3" t="s">
        <v>581</v>
      </c>
      <c r="G248" s="3" t="s">
        <v>37</v>
      </c>
      <c r="H248" s="3">
        <v>2</v>
      </c>
      <c r="I248" s="3">
        <v>2500</v>
      </c>
      <c r="J248" s="3">
        <v>5000</v>
      </c>
      <c r="K248" s="3" t="s">
        <v>57</v>
      </c>
      <c r="L248" s="3" t="str">
        <f>_xlfn.XLOOKUP(K248,Employees!$A$2:$A$51,Employees!$B$2:$B$51)</f>
        <v>Ajay Singh</v>
      </c>
      <c r="M248" s="3" t="str">
        <f>_xlfn.XLOOKUP(K248,Employees!$A$2:$A$51,Employees!$E$2:$E$51)</f>
        <v>Chennai</v>
      </c>
      <c r="N248" s="3" t="s">
        <v>44</v>
      </c>
      <c r="O248" s="3" t="s">
        <v>46</v>
      </c>
      <c r="P248" s="11"/>
    </row>
    <row r="249" spans="1:16" x14ac:dyDescent="0.25">
      <c r="A249" s="3" t="s">
        <v>1202</v>
      </c>
      <c r="B249" s="6">
        <v>45910</v>
      </c>
      <c r="C249" s="3" t="s">
        <v>1203</v>
      </c>
      <c r="D249" s="3" t="s">
        <v>1204</v>
      </c>
      <c r="E249" s="3" t="s">
        <v>163</v>
      </c>
      <c r="F249" s="3" t="s">
        <v>584</v>
      </c>
      <c r="G249" s="3" t="s">
        <v>38</v>
      </c>
      <c r="H249" s="3">
        <v>8</v>
      </c>
      <c r="I249" s="3">
        <v>700</v>
      </c>
      <c r="J249" s="3">
        <v>5600</v>
      </c>
      <c r="K249" s="3" t="s">
        <v>58</v>
      </c>
      <c r="L249" s="3" t="str">
        <f>_xlfn.XLOOKUP(K249,Employees!$A$2:$A$51,Employees!$B$2:$B$51)</f>
        <v>Meera Joshi</v>
      </c>
      <c r="M249" s="3" t="str">
        <f>_xlfn.XLOOKUP(K249,Employees!$A$2:$A$51,Employees!$E$2:$E$51)</f>
        <v>Mumbai</v>
      </c>
      <c r="N249" s="3" t="s">
        <v>45</v>
      </c>
      <c r="O249" s="3" t="s">
        <v>46</v>
      </c>
      <c r="P249" s="11"/>
    </row>
    <row r="250" spans="1:16" x14ac:dyDescent="0.25">
      <c r="A250" s="3" t="s">
        <v>1205</v>
      </c>
      <c r="B250" s="6">
        <v>45911</v>
      </c>
      <c r="C250" s="3" t="s">
        <v>1206</v>
      </c>
      <c r="D250" s="3" t="s">
        <v>1207</v>
      </c>
      <c r="E250" s="3" t="s">
        <v>164</v>
      </c>
      <c r="F250" s="3" t="s">
        <v>587</v>
      </c>
      <c r="G250" s="3" t="s">
        <v>39</v>
      </c>
      <c r="H250" s="3">
        <v>1</v>
      </c>
      <c r="I250" s="3">
        <v>18000</v>
      </c>
      <c r="J250" s="3">
        <v>18000</v>
      </c>
      <c r="K250" s="3" t="s">
        <v>59</v>
      </c>
      <c r="L250" s="3" t="str">
        <f>_xlfn.XLOOKUP(K250,Employees!$A$2:$A$51,Employees!$B$2:$B$51)</f>
        <v>Sanjay Kumar</v>
      </c>
      <c r="M250" s="3" t="str">
        <f>_xlfn.XLOOKUP(K250,Employees!$A$2:$A$51,Employees!$E$2:$E$51)</f>
        <v>Delhi</v>
      </c>
      <c r="N250" s="3" t="s">
        <v>45</v>
      </c>
      <c r="O250" s="3" t="s">
        <v>47</v>
      </c>
      <c r="P250" s="11"/>
    </row>
    <row r="251" spans="1:16" x14ac:dyDescent="0.25">
      <c r="A251" s="3" t="s">
        <v>1208</v>
      </c>
      <c r="B251" s="6">
        <v>45912</v>
      </c>
      <c r="C251" s="3" t="s">
        <v>1209</v>
      </c>
      <c r="D251" s="3" t="s">
        <v>1210</v>
      </c>
      <c r="E251" s="3" t="s">
        <v>165</v>
      </c>
      <c r="F251" s="3" t="s">
        <v>590</v>
      </c>
      <c r="G251" s="3" t="s">
        <v>40</v>
      </c>
      <c r="H251" s="3">
        <v>5</v>
      </c>
      <c r="I251" s="3">
        <v>900</v>
      </c>
      <c r="J251" s="3">
        <v>4500</v>
      </c>
      <c r="K251" s="3" t="s">
        <v>60</v>
      </c>
      <c r="L251" s="3" t="str">
        <f>_xlfn.XLOOKUP(K251,Employees!$A$2:$A$51,Employees!$B$2:$B$51)</f>
        <v>Pooja Patel</v>
      </c>
      <c r="M251" s="3" t="str">
        <f>_xlfn.XLOOKUP(K251,Employees!$A$2:$A$51,Employees!$E$2:$E$51)</f>
        <v>Bangalore</v>
      </c>
      <c r="N251" s="3" t="s">
        <v>45</v>
      </c>
      <c r="O251" s="3" t="s">
        <v>49</v>
      </c>
      <c r="P251" s="11"/>
    </row>
    <row r="252" spans="1:16" x14ac:dyDescent="0.25">
      <c r="A252" s="3" t="s">
        <v>1211</v>
      </c>
      <c r="B252" s="6">
        <v>45913</v>
      </c>
      <c r="C252" s="3" t="s">
        <v>1212</v>
      </c>
      <c r="D252" s="3" t="s">
        <v>1213</v>
      </c>
      <c r="E252" s="3" t="s">
        <v>166</v>
      </c>
      <c r="F252" s="3" t="s">
        <v>593</v>
      </c>
      <c r="G252" s="3" t="s">
        <v>36</v>
      </c>
      <c r="H252" s="3">
        <v>3</v>
      </c>
      <c r="I252" s="3">
        <v>15000</v>
      </c>
      <c r="J252" s="3">
        <v>45000</v>
      </c>
      <c r="K252" s="3" t="s">
        <v>91</v>
      </c>
      <c r="L252" s="3" t="str">
        <f>_xlfn.XLOOKUP(K252,Employees!$A$2:$A$51,Employees!$B$2:$B$51)</f>
        <v>Nithya Krishnan</v>
      </c>
      <c r="M252" s="3" t="str">
        <f>_xlfn.XLOOKUP(K252,Employees!$A$2:$A$51,Employees!$E$2:$E$51)</f>
        <v>Chennai</v>
      </c>
      <c r="N252" s="3" t="s">
        <v>44</v>
      </c>
      <c r="O252" s="3" t="s">
        <v>46</v>
      </c>
      <c r="P252" s="11"/>
    </row>
    <row r="253" spans="1:16" x14ac:dyDescent="0.25">
      <c r="A253" s="3" t="s">
        <v>1214</v>
      </c>
      <c r="B253" s="6">
        <v>45914</v>
      </c>
      <c r="C253" s="3" t="s">
        <v>1215</v>
      </c>
      <c r="D253" s="3" t="s">
        <v>1216</v>
      </c>
      <c r="E253" s="3" t="s">
        <v>167</v>
      </c>
      <c r="F253" s="3" t="s">
        <v>596</v>
      </c>
      <c r="G253" s="3" t="s">
        <v>37</v>
      </c>
      <c r="H253" s="3">
        <v>2</v>
      </c>
      <c r="I253" s="3">
        <v>3000</v>
      </c>
      <c r="J253" s="3">
        <v>6000</v>
      </c>
      <c r="K253" s="3" t="s">
        <v>92</v>
      </c>
      <c r="L253" s="3" t="str">
        <f>_xlfn.XLOOKUP(K253,Employees!$A$2:$A$51,Employees!$B$2:$B$51)</f>
        <v>Rohit Mehta</v>
      </c>
      <c r="M253" s="3" t="str">
        <f>_xlfn.XLOOKUP(K253,Employees!$A$2:$A$51,Employees!$E$2:$E$51)</f>
        <v>Hydrabed</v>
      </c>
      <c r="N253" s="3" t="s">
        <v>44</v>
      </c>
      <c r="O253" s="3" t="s">
        <v>48</v>
      </c>
      <c r="P253" s="11"/>
    </row>
    <row r="254" spans="1:16" x14ac:dyDescent="0.25">
      <c r="A254" s="3" t="s">
        <v>1217</v>
      </c>
      <c r="B254" s="6">
        <v>45915</v>
      </c>
      <c r="C254" s="3" t="s">
        <v>1218</v>
      </c>
      <c r="D254" s="3" t="s">
        <v>1219</v>
      </c>
      <c r="E254" s="3" t="s">
        <v>168</v>
      </c>
      <c r="F254" s="3" t="s">
        <v>599</v>
      </c>
      <c r="G254" s="3" t="s">
        <v>38</v>
      </c>
      <c r="H254" s="3">
        <v>7</v>
      </c>
      <c r="I254" s="3">
        <v>400</v>
      </c>
      <c r="J254" s="3">
        <v>2800</v>
      </c>
      <c r="K254" s="3" t="s">
        <v>93</v>
      </c>
      <c r="L254" s="3" t="str">
        <f>_xlfn.XLOOKUP(K254,Employees!$A$2:$A$51,Employees!$B$2:$B$51)</f>
        <v>Aisha Khan</v>
      </c>
      <c r="M254" s="3" t="str">
        <f>_xlfn.XLOOKUP(K254,Employees!$A$2:$A$51,Employees!$E$2:$E$51)</f>
        <v>Delhi</v>
      </c>
      <c r="N254" s="3" t="s">
        <v>44</v>
      </c>
      <c r="O254" s="3" t="s">
        <v>48</v>
      </c>
      <c r="P254" s="11"/>
    </row>
    <row r="255" spans="1:16" x14ac:dyDescent="0.25">
      <c r="A255" s="3" t="s">
        <v>1220</v>
      </c>
      <c r="B255" s="6">
        <v>45916</v>
      </c>
      <c r="C255" s="3" t="s">
        <v>1221</v>
      </c>
      <c r="D255" s="3" t="s">
        <v>1222</v>
      </c>
      <c r="E255" s="3" t="s">
        <v>169</v>
      </c>
      <c r="F255" s="3" t="s">
        <v>602</v>
      </c>
      <c r="G255" s="3" t="s">
        <v>39</v>
      </c>
      <c r="H255" s="3">
        <v>1</v>
      </c>
      <c r="I255" s="3">
        <v>11000</v>
      </c>
      <c r="J255" s="3">
        <v>11000</v>
      </c>
      <c r="K255" s="3" t="s">
        <v>94</v>
      </c>
      <c r="L255" s="3" t="str">
        <f>_xlfn.XLOOKUP(K255,Employees!$A$2:$A$51,Employees!$B$2:$B$51)</f>
        <v>Vikram Iyer</v>
      </c>
      <c r="M255" s="3" t="str">
        <f>_xlfn.XLOOKUP(K255,Employees!$A$2:$A$51,Employees!$E$2:$E$51)</f>
        <v>Bangalore</v>
      </c>
      <c r="N255" s="3" t="s">
        <v>45</v>
      </c>
      <c r="O255" s="3" t="s">
        <v>46</v>
      </c>
      <c r="P255" s="11"/>
    </row>
    <row r="256" spans="1:16" x14ac:dyDescent="0.25">
      <c r="A256" s="3" t="s">
        <v>1223</v>
      </c>
      <c r="B256" s="6">
        <v>45917</v>
      </c>
      <c r="C256" s="3" t="s">
        <v>1224</v>
      </c>
      <c r="D256" s="3" t="s">
        <v>1225</v>
      </c>
      <c r="E256" s="3" t="s">
        <v>170</v>
      </c>
      <c r="F256" s="3" t="s">
        <v>605</v>
      </c>
      <c r="G256" s="3" t="s">
        <v>40</v>
      </c>
      <c r="H256" s="3">
        <v>4</v>
      </c>
      <c r="I256" s="3">
        <v>750</v>
      </c>
      <c r="J256" s="3">
        <v>3000</v>
      </c>
      <c r="K256" s="3" t="s">
        <v>101</v>
      </c>
      <c r="L256" s="3" t="str">
        <f>_xlfn.XLOOKUP(K256,Employees!$A$2:$A$51,Employees!$B$2:$B$51)</f>
        <v>Neha Gupta</v>
      </c>
      <c r="M256" s="3" t="str">
        <f>_xlfn.XLOOKUP(K256,Employees!$A$2:$A$51,Employees!$E$2:$E$51)</f>
        <v>Mumbai</v>
      </c>
      <c r="N256" s="3" t="s">
        <v>43</v>
      </c>
      <c r="O256" s="3" t="s">
        <v>46</v>
      </c>
      <c r="P256" s="11"/>
    </row>
    <row r="257" spans="1:16" x14ac:dyDescent="0.25">
      <c r="A257" s="3" t="s">
        <v>1226</v>
      </c>
      <c r="B257" s="6">
        <v>45918</v>
      </c>
      <c r="C257" s="3" t="s">
        <v>1227</v>
      </c>
      <c r="D257" s="3" t="s">
        <v>1228</v>
      </c>
      <c r="E257" s="3" t="s">
        <v>171</v>
      </c>
      <c r="F257" s="3" t="s">
        <v>608</v>
      </c>
      <c r="G257" s="3" t="s">
        <v>36</v>
      </c>
      <c r="H257" s="3">
        <v>2</v>
      </c>
      <c r="I257" s="3">
        <v>28000</v>
      </c>
      <c r="J257" s="3">
        <v>56000</v>
      </c>
      <c r="K257" s="3" t="s">
        <v>105</v>
      </c>
      <c r="L257" s="3" t="str">
        <f>_xlfn.XLOOKUP(K257,Employees!$A$2:$A$51,Employees!$B$2:$B$51)</f>
        <v>Harish Ramanan</v>
      </c>
      <c r="M257" s="3" t="str">
        <f>_xlfn.XLOOKUP(K257,Employees!$A$2:$A$51,Employees!$E$2:$E$51)</f>
        <v>Chennai</v>
      </c>
      <c r="N257" s="3" t="s">
        <v>41</v>
      </c>
      <c r="O257" s="3" t="s">
        <v>47</v>
      </c>
      <c r="P257" s="11"/>
    </row>
    <row r="258" spans="1:16" x14ac:dyDescent="0.25">
      <c r="A258" s="3" t="s">
        <v>1229</v>
      </c>
      <c r="B258" s="6">
        <v>45919</v>
      </c>
      <c r="C258" s="3" t="s">
        <v>1230</v>
      </c>
      <c r="D258" s="3" t="s">
        <v>1231</v>
      </c>
      <c r="E258" s="3" t="s">
        <v>172</v>
      </c>
      <c r="F258" s="3" t="s">
        <v>611</v>
      </c>
      <c r="G258" s="3" t="s">
        <v>37</v>
      </c>
      <c r="H258" s="3">
        <v>5</v>
      </c>
      <c r="I258" s="3">
        <v>1200</v>
      </c>
      <c r="J258" s="3">
        <v>6000</v>
      </c>
      <c r="K258" s="3" t="s">
        <v>106</v>
      </c>
      <c r="L258" s="3" t="str">
        <f>_xlfn.XLOOKUP(K258,Employees!$A$2:$A$51,Employees!$B$2:$B$51)</f>
        <v>Lakshmi Devi</v>
      </c>
      <c r="M258" s="3" t="str">
        <f>_xlfn.XLOOKUP(K258,Employees!$A$2:$A$51,Employees!$E$2:$E$51)</f>
        <v>Bangalore</v>
      </c>
      <c r="N258" s="3" t="s">
        <v>45</v>
      </c>
      <c r="O258" s="3" t="s">
        <v>46</v>
      </c>
      <c r="P258" s="11"/>
    </row>
    <row r="259" spans="1:16" x14ac:dyDescent="0.25">
      <c r="A259" s="3" t="s">
        <v>1232</v>
      </c>
      <c r="B259" s="6">
        <v>45920</v>
      </c>
      <c r="C259" s="3" t="s">
        <v>1233</v>
      </c>
      <c r="D259" s="3" t="s">
        <v>1234</v>
      </c>
      <c r="E259" s="3" t="s">
        <v>173</v>
      </c>
      <c r="F259" s="3" t="s">
        <v>614</v>
      </c>
      <c r="G259" s="3" t="s">
        <v>38</v>
      </c>
      <c r="H259" s="3">
        <v>3</v>
      </c>
      <c r="I259" s="3">
        <v>900</v>
      </c>
      <c r="J259" s="3">
        <v>2700</v>
      </c>
      <c r="K259" s="3" t="s">
        <v>107</v>
      </c>
      <c r="L259" s="3" t="str">
        <f>_xlfn.XLOOKUP(K259,Employees!$A$2:$A$51,Employees!$B$2:$B$51)</f>
        <v>Mohammed Ali</v>
      </c>
      <c r="M259" s="3" t="str">
        <f>_xlfn.XLOOKUP(K259,Employees!$A$2:$A$51,Employees!$E$2:$E$51)</f>
        <v>Hydrabed</v>
      </c>
      <c r="N259" s="3" t="s">
        <v>42</v>
      </c>
      <c r="O259" s="3" t="s">
        <v>47</v>
      </c>
      <c r="P259" s="11"/>
    </row>
    <row r="260" spans="1:16" x14ac:dyDescent="0.25">
      <c r="A260" s="3" t="s">
        <v>1235</v>
      </c>
      <c r="B260" s="6">
        <v>45921</v>
      </c>
      <c r="C260" s="3" t="s">
        <v>1236</v>
      </c>
      <c r="D260" s="3" t="s">
        <v>1237</v>
      </c>
      <c r="E260" s="3" t="s">
        <v>174</v>
      </c>
      <c r="F260" s="3" t="s">
        <v>617</v>
      </c>
      <c r="G260" s="3" t="s">
        <v>39</v>
      </c>
      <c r="H260" s="3">
        <v>2</v>
      </c>
      <c r="I260" s="3">
        <v>13000</v>
      </c>
      <c r="J260" s="3">
        <v>26000</v>
      </c>
      <c r="K260" s="3" t="s">
        <v>108</v>
      </c>
      <c r="L260" s="3" t="str">
        <f>_xlfn.XLOOKUP(K260,Employees!$A$2:$A$51,Employees!$B$2:$B$51)</f>
        <v>Kavya Srinivas</v>
      </c>
      <c r="M260" s="3" t="str">
        <f>_xlfn.XLOOKUP(K260,Employees!$A$2:$A$51,Employees!$E$2:$E$51)</f>
        <v>Delhi</v>
      </c>
      <c r="N260" s="3" t="s">
        <v>44</v>
      </c>
      <c r="O260" s="3" t="s">
        <v>47</v>
      </c>
      <c r="P260" s="11"/>
    </row>
    <row r="261" spans="1:16" x14ac:dyDescent="0.25">
      <c r="A261" s="3" t="s">
        <v>1238</v>
      </c>
      <c r="B261" s="6">
        <v>45922</v>
      </c>
      <c r="C261" s="3" t="s">
        <v>1239</v>
      </c>
      <c r="D261" s="3" t="s">
        <v>1240</v>
      </c>
      <c r="E261" s="3" t="s">
        <v>175</v>
      </c>
      <c r="F261" s="3" t="s">
        <v>620</v>
      </c>
      <c r="G261" s="3" t="s">
        <v>40</v>
      </c>
      <c r="H261" s="3">
        <v>6</v>
      </c>
      <c r="I261" s="3">
        <v>500</v>
      </c>
      <c r="J261" s="3">
        <v>3000</v>
      </c>
      <c r="K261" s="3" t="s">
        <v>109</v>
      </c>
      <c r="L261" s="3" t="str">
        <f>_xlfn.XLOOKUP(K261,Employees!$A$2:$A$51,Employees!$B$2:$B$51)</f>
        <v>Rakesh Sharma</v>
      </c>
      <c r="M261" s="3" t="str">
        <f>_xlfn.XLOOKUP(K261,Employees!$A$2:$A$51,Employees!$E$2:$E$51)</f>
        <v>Mumbai</v>
      </c>
      <c r="N261" s="3" t="s">
        <v>41</v>
      </c>
      <c r="O261" s="3" t="s">
        <v>46</v>
      </c>
      <c r="P261" s="11"/>
    </row>
    <row r="262" spans="1:16" x14ac:dyDescent="0.25">
      <c r="A262" s="3" t="s">
        <v>1241</v>
      </c>
      <c r="B262" s="6">
        <v>45923</v>
      </c>
      <c r="C262" s="3" t="s">
        <v>1242</v>
      </c>
      <c r="D262" s="3" t="s">
        <v>1243</v>
      </c>
      <c r="E262" s="3" t="s">
        <v>119</v>
      </c>
      <c r="F262" s="3" t="s">
        <v>533</v>
      </c>
      <c r="G262" s="3" t="s">
        <v>36</v>
      </c>
      <c r="H262" s="3">
        <v>1</v>
      </c>
      <c r="I262" s="3">
        <v>25000</v>
      </c>
      <c r="J262" s="3">
        <v>25000</v>
      </c>
      <c r="K262" s="3" t="s">
        <v>51</v>
      </c>
      <c r="L262" s="3" t="str">
        <f>_xlfn.XLOOKUP(K262,Employees!$A$2:$A$51,Employees!$B$2:$B$51)</f>
        <v>Arjun Kumar</v>
      </c>
      <c r="M262" s="3" t="str">
        <f>_xlfn.XLOOKUP(K262,Employees!$A$2:$A$51,Employees!$E$2:$E$51)</f>
        <v>Chennai</v>
      </c>
      <c r="N262" s="3" t="s">
        <v>41</v>
      </c>
      <c r="O262" s="3" t="s">
        <v>47</v>
      </c>
      <c r="P262" s="11"/>
    </row>
    <row r="263" spans="1:16" x14ac:dyDescent="0.25">
      <c r="A263" s="3" t="s">
        <v>1244</v>
      </c>
      <c r="B263" s="6">
        <v>45924</v>
      </c>
      <c r="C263" s="3" t="s">
        <v>1245</v>
      </c>
      <c r="D263" s="3" t="s">
        <v>1246</v>
      </c>
      <c r="E263" s="3" t="s">
        <v>120</v>
      </c>
      <c r="F263" s="3" t="s">
        <v>536</v>
      </c>
      <c r="G263" s="3" t="s">
        <v>37</v>
      </c>
      <c r="H263" s="3">
        <v>2</v>
      </c>
      <c r="I263" s="3">
        <v>1500</v>
      </c>
      <c r="J263" s="3">
        <v>3000</v>
      </c>
      <c r="K263" s="3" t="s">
        <v>52</v>
      </c>
      <c r="L263" s="3" t="str">
        <f>_xlfn.XLOOKUP(K263,Employees!$A$2:$A$51,Employees!$B$2:$B$51)</f>
        <v>Priya Sharma</v>
      </c>
      <c r="M263" s="3" t="str">
        <f>_xlfn.XLOOKUP(K263,Employees!$A$2:$A$51,Employees!$E$2:$E$51)</f>
        <v>Bangalore</v>
      </c>
      <c r="N263" s="3" t="s">
        <v>44</v>
      </c>
      <c r="O263" s="3" t="s">
        <v>49</v>
      </c>
      <c r="P263" s="11"/>
    </row>
    <row r="264" spans="1:16" x14ac:dyDescent="0.25">
      <c r="A264" s="3" t="s">
        <v>1247</v>
      </c>
      <c r="B264" s="6">
        <v>45925</v>
      </c>
      <c r="C264" s="3" t="s">
        <v>1248</v>
      </c>
      <c r="D264" s="3" t="s">
        <v>1249</v>
      </c>
      <c r="E264" s="3" t="s">
        <v>121</v>
      </c>
      <c r="F264" s="3" t="s">
        <v>539</v>
      </c>
      <c r="G264" s="3" t="s">
        <v>38</v>
      </c>
      <c r="H264" s="3">
        <v>10</v>
      </c>
      <c r="I264" s="3">
        <v>500</v>
      </c>
      <c r="J264" s="3">
        <v>5000</v>
      </c>
      <c r="K264" s="3" t="s">
        <v>53</v>
      </c>
      <c r="L264" s="3" t="str">
        <f>_xlfn.XLOOKUP(K264,Employees!$A$2:$A$51,Employees!$B$2:$B$51)</f>
        <v>Rahul Verma</v>
      </c>
      <c r="M264" s="3" t="str">
        <f>_xlfn.XLOOKUP(K264,Employees!$A$2:$A$51,Employees!$E$2:$E$51)</f>
        <v>Hydrabed</v>
      </c>
      <c r="N264" s="3" t="s">
        <v>42</v>
      </c>
      <c r="O264" s="3" t="s">
        <v>46</v>
      </c>
      <c r="P264" s="11"/>
    </row>
    <row r="265" spans="1:16" x14ac:dyDescent="0.25">
      <c r="A265" s="3" t="s">
        <v>1250</v>
      </c>
      <c r="B265" s="6">
        <v>45926</v>
      </c>
      <c r="C265" s="3" t="s">
        <v>1251</v>
      </c>
      <c r="D265" s="3" t="s">
        <v>1252</v>
      </c>
      <c r="E265" s="3" t="s">
        <v>122</v>
      </c>
      <c r="F265" s="3" t="s">
        <v>542</v>
      </c>
      <c r="G265" s="3" t="s">
        <v>39</v>
      </c>
      <c r="H265" s="3">
        <v>1</v>
      </c>
      <c r="I265" s="3">
        <v>12000</v>
      </c>
      <c r="J265" s="3">
        <v>12000</v>
      </c>
      <c r="K265" s="3" t="s">
        <v>54</v>
      </c>
      <c r="L265" s="3" t="str">
        <f>_xlfn.XLOOKUP(K265,Employees!$A$2:$A$51,Employees!$B$2:$B$51)</f>
        <v>Sneha Reddy</v>
      </c>
      <c r="M265" s="3" t="str">
        <f>_xlfn.XLOOKUP(K265,Employees!$A$2:$A$51,Employees!$E$2:$E$51)</f>
        <v>Chennai</v>
      </c>
      <c r="N265" s="3" t="s">
        <v>43</v>
      </c>
      <c r="O265" s="3" t="s">
        <v>47</v>
      </c>
      <c r="P265" s="11"/>
    </row>
    <row r="266" spans="1:16" x14ac:dyDescent="0.25">
      <c r="A266" s="3" t="s">
        <v>1253</v>
      </c>
      <c r="B266" s="6">
        <v>45927</v>
      </c>
      <c r="C266" s="3" t="s">
        <v>1254</v>
      </c>
      <c r="D266" s="3" t="s">
        <v>1255</v>
      </c>
      <c r="E266" s="3" t="s">
        <v>123</v>
      </c>
      <c r="F266" s="3" t="s">
        <v>545</v>
      </c>
      <c r="G266" s="3" t="s">
        <v>40</v>
      </c>
      <c r="H266" s="3">
        <v>3</v>
      </c>
      <c r="I266" s="3">
        <v>800</v>
      </c>
      <c r="J266" s="3">
        <v>2400</v>
      </c>
      <c r="K266" s="3" t="s">
        <v>55</v>
      </c>
      <c r="L266" s="3" t="str">
        <f>_xlfn.XLOOKUP(K266,Employees!$A$2:$A$51,Employees!$B$2:$B$51)</f>
        <v>Karthik Raj</v>
      </c>
      <c r="M266" s="3" t="str">
        <f>_xlfn.XLOOKUP(K266,Employees!$A$2:$A$51,Employees!$E$2:$E$51)</f>
        <v>Bangalore</v>
      </c>
      <c r="N266" s="3" t="s">
        <v>45</v>
      </c>
      <c r="O266" s="3" t="s">
        <v>49</v>
      </c>
      <c r="P266" s="11"/>
    </row>
    <row r="267" spans="1:16" x14ac:dyDescent="0.25">
      <c r="A267" s="3" t="s">
        <v>1256</v>
      </c>
      <c r="B267" s="6">
        <v>45928</v>
      </c>
      <c r="C267" s="3" t="s">
        <v>1257</v>
      </c>
      <c r="D267" s="3" t="s">
        <v>1258</v>
      </c>
      <c r="E267" s="3" t="s">
        <v>124</v>
      </c>
      <c r="F267" s="3" t="s">
        <v>548</v>
      </c>
      <c r="G267" s="3" t="s">
        <v>36</v>
      </c>
      <c r="H267" s="3">
        <v>2</v>
      </c>
      <c r="I267" s="3">
        <v>18000</v>
      </c>
      <c r="J267" s="3">
        <v>36000</v>
      </c>
      <c r="K267" s="3" t="s">
        <v>56</v>
      </c>
      <c r="L267" s="3" t="str">
        <f>_xlfn.XLOOKUP(K267,Employees!$A$2:$A$51,Employees!$B$2:$B$51)</f>
        <v xml:space="preserve">Divya Nair </v>
      </c>
      <c r="M267" s="3" t="str">
        <f>_xlfn.XLOOKUP(K267,Employees!$A$2:$A$51,Employees!$E$2:$E$51)</f>
        <v>Hydrabed</v>
      </c>
      <c r="N267" s="3" t="s">
        <v>44</v>
      </c>
      <c r="O267" s="3" t="s">
        <v>49</v>
      </c>
      <c r="P267" s="11"/>
    </row>
    <row r="268" spans="1:16" x14ac:dyDescent="0.25">
      <c r="A268" s="3" t="s">
        <v>1259</v>
      </c>
      <c r="B268" s="6">
        <v>45929</v>
      </c>
      <c r="C268" s="3" t="s">
        <v>1260</v>
      </c>
      <c r="D268" s="3" t="s">
        <v>1261</v>
      </c>
      <c r="E268" s="3" t="s">
        <v>125</v>
      </c>
      <c r="F268" s="3" t="s">
        <v>551</v>
      </c>
      <c r="G268" s="3" t="s">
        <v>37</v>
      </c>
      <c r="H268" s="3">
        <v>4</v>
      </c>
      <c r="I268" s="3">
        <v>2200</v>
      </c>
      <c r="J268" s="3">
        <v>8800</v>
      </c>
      <c r="K268" s="3" t="s">
        <v>57</v>
      </c>
      <c r="L268" s="3" t="str">
        <f>_xlfn.XLOOKUP(K268,Employees!$A$2:$A$51,Employees!$B$2:$B$51)</f>
        <v>Ajay Singh</v>
      </c>
      <c r="M268" s="3" t="str">
        <f>_xlfn.XLOOKUP(K268,Employees!$A$2:$A$51,Employees!$E$2:$E$51)</f>
        <v>Chennai</v>
      </c>
      <c r="N268" s="3" t="s">
        <v>44</v>
      </c>
      <c r="O268" s="3" t="s">
        <v>47</v>
      </c>
      <c r="P268" s="11"/>
    </row>
    <row r="269" spans="1:16" x14ac:dyDescent="0.25">
      <c r="A269" s="3" t="s">
        <v>1262</v>
      </c>
      <c r="B269" s="6">
        <v>45930</v>
      </c>
      <c r="C269" s="3" t="s">
        <v>1263</v>
      </c>
      <c r="D269" s="3" t="s">
        <v>1264</v>
      </c>
      <c r="E269" s="3" t="s">
        <v>126</v>
      </c>
      <c r="F269" s="3" t="s">
        <v>554</v>
      </c>
      <c r="G269" s="3" t="s">
        <v>38</v>
      </c>
      <c r="H269" s="3">
        <v>5</v>
      </c>
      <c r="I269" s="3">
        <v>300</v>
      </c>
      <c r="J269" s="3">
        <v>1500</v>
      </c>
      <c r="K269" s="3" t="s">
        <v>58</v>
      </c>
      <c r="L269" s="3" t="str">
        <f>_xlfn.XLOOKUP(K269,Employees!$A$2:$A$51,Employees!$B$2:$B$51)</f>
        <v>Meera Joshi</v>
      </c>
      <c r="M269" s="3" t="str">
        <f>_xlfn.XLOOKUP(K269,Employees!$A$2:$A$51,Employees!$E$2:$E$51)</f>
        <v>Mumbai</v>
      </c>
      <c r="N269" s="3" t="s">
        <v>43</v>
      </c>
      <c r="O269" s="3" t="s">
        <v>47</v>
      </c>
      <c r="P269" s="11"/>
    </row>
    <row r="270" spans="1:16" x14ac:dyDescent="0.25">
      <c r="A270" s="3" t="s">
        <v>1265</v>
      </c>
      <c r="B270" s="6">
        <v>45931</v>
      </c>
      <c r="C270" s="3" t="s">
        <v>1266</v>
      </c>
      <c r="D270" s="3" t="s">
        <v>1267</v>
      </c>
      <c r="E270" s="3" t="s">
        <v>127</v>
      </c>
      <c r="F270" s="3" t="s">
        <v>557</v>
      </c>
      <c r="G270" s="3" t="s">
        <v>39</v>
      </c>
      <c r="H270" s="3">
        <v>2</v>
      </c>
      <c r="I270" s="3">
        <v>15000</v>
      </c>
      <c r="J270" s="3">
        <v>30000</v>
      </c>
      <c r="K270" s="3" t="s">
        <v>59</v>
      </c>
      <c r="L270" s="3" t="str">
        <f>_xlfn.XLOOKUP(K270,Employees!$A$2:$A$51,Employees!$B$2:$B$51)</f>
        <v>Sanjay Kumar</v>
      </c>
      <c r="M270" s="3" t="str">
        <f>_xlfn.XLOOKUP(K270,Employees!$A$2:$A$51,Employees!$E$2:$E$51)</f>
        <v>Delhi</v>
      </c>
      <c r="N270" s="3" t="s">
        <v>44</v>
      </c>
      <c r="O270" s="3" t="s">
        <v>48</v>
      </c>
      <c r="P270" s="11"/>
    </row>
    <row r="271" spans="1:16" x14ac:dyDescent="0.25">
      <c r="A271" s="3" t="s">
        <v>1268</v>
      </c>
      <c r="B271" s="6">
        <v>45932</v>
      </c>
      <c r="C271" s="3" t="s">
        <v>1269</v>
      </c>
      <c r="D271" s="3" t="s">
        <v>1270</v>
      </c>
      <c r="E271" s="3" t="s">
        <v>128</v>
      </c>
      <c r="F271" s="3" t="s">
        <v>560</v>
      </c>
      <c r="G271" s="3" t="s">
        <v>40</v>
      </c>
      <c r="H271" s="3">
        <v>3</v>
      </c>
      <c r="I271" s="3">
        <v>1200</v>
      </c>
      <c r="J271" s="3">
        <v>3600</v>
      </c>
      <c r="K271" s="3" t="s">
        <v>60</v>
      </c>
      <c r="L271" s="3" t="str">
        <f>_xlfn.XLOOKUP(K271,Employees!$A$2:$A$51,Employees!$B$2:$B$51)</f>
        <v>Pooja Patel</v>
      </c>
      <c r="M271" s="3" t="str">
        <f>_xlfn.XLOOKUP(K271,Employees!$A$2:$A$51,Employees!$E$2:$E$51)</f>
        <v>Bangalore</v>
      </c>
      <c r="N271" s="3" t="s">
        <v>45</v>
      </c>
      <c r="O271" s="3" t="s">
        <v>46</v>
      </c>
      <c r="P271" s="11"/>
    </row>
    <row r="272" spans="1:16" x14ac:dyDescent="0.25">
      <c r="A272" s="3" t="s">
        <v>1271</v>
      </c>
      <c r="B272" s="6">
        <v>45933</v>
      </c>
      <c r="C272" s="3" t="s">
        <v>1272</v>
      </c>
      <c r="D272" s="3" t="s">
        <v>1273</v>
      </c>
      <c r="E272" s="3" t="s">
        <v>156</v>
      </c>
      <c r="F272" s="3" t="s">
        <v>563</v>
      </c>
      <c r="G272" s="3" t="s">
        <v>36</v>
      </c>
      <c r="H272" s="3">
        <v>2</v>
      </c>
      <c r="I272" s="3">
        <v>32000</v>
      </c>
      <c r="J272" s="3">
        <v>64000</v>
      </c>
      <c r="K272" s="3" t="s">
        <v>91</v>
      </c>
      <c r="L272" s="3" t="str">
        <f>_xlfn.XLOOKUP(K272,Employees!$A$2:$A$51,Employees!$B$2:$B$51)</f>
        <v>Nithya Krishnan</v>
      </c>
      <c r="M272" s="3" t="str">
        <f>_xlfn.XLOOKUP(K272,Employees!$A$2:$A$51,Employees!$E$2:$E$51)</f>
        <v>Chennai</v>
      </c>
      <c r="N272" s="3" t="s">
        <v>45</v>
      </c>
      <c r="O272" s="3" t="s">
        <v>49</v>
      </c>
      <c r="P272" s="11"/>
    </row>
    <row r="273" spans="1:16" x14ac:dyDescent="0.25">
      <c r="A273" s="3" t="s">
        <v>1274</v>
      </c>
      <c r="B273" s="6">
        <v>45934</v>
      </c>
      <c r="C273" s="3" t="s">
        <v>1275</v>
      </c>
      <c r="D273" s="3" t="s">
        <v>1276</v>
      </c>
      <c r="E273" s="3" t="s">
        <v>157</v>
      </c>
      <c r="F273" s="3" t="s">
        <v>566</v>
      </c>
      <c r="G273" s="3" t="s">
        <v>37</v>
      </c>
      <c r="H273" s="3">
        <v>1</v>
      </c>
      <c r="I273" s="3">
        <v>1800</v>
      </c>
      <c r="J273" s="3">
        <v>1800</v>
      </c>
      <c r="K273" s="3" t="s">
        <v>92</v>
      </c>
      <c r="L273" s="3" t="str">
        <f>_xlfn.XLOOKUP(K273,Employees!$A$2:$A$51,Employees!$B$2:$B$51)</f>
        <v>Rohit Mehta</v>
      </c>
      <c r="M273" s="3" t="str">
        <f>_xlfn.XLOOKUP(K273,Employees!$A$2:$A$51,Employees!$E$2:$E$51)</f>
        <v>Hydrabed</v>
      </c>
      <c r="N273" s="3" t="s">
        <v>44</v>
      </c>
      <c r="O273" s="3" t="s">
        <v>48</v>
      </c>
      <c r="P273" s="11"/>
    </row>
    <row r="274" spans="1:16" x14ac:dyDescent="0.25">
      <c r="A274" s="3" t="s">
        <v>1277</v>
      </c>
      <c r="B274" s="6">
        <v>45935</v>
      </c>
      <c r="C274" s="3" t="s">
        <v>1278</v>
      </c>
      <c r="D274" s="3" t="s">
        <v>1279</v>
      </c>
      <c r="E274" s="3" t="s">
        <v>158</v>
      </c>
      <c r="F274" s="3" t="s">
        <v>569</v>
      </c>
      <c r="G274" s="3" t="s">
        <v>38</v>
      </c>
      <c r="H274" s="3">
        <v>6</v>
      </c>
      <c r="I274" s="3">
        <v>250</v>
      </c>
      <c r="J274" s="3">
        <v>1500</v>
      </c>
      <c r="K274" s="3" t="s">
        <v>93</v>
      </c>
      <c r="L274" s="3" t="str">
        <f>_xlfn.XLOOKUP(K274,Employees!$A$2:$A$51,Employees!$B$2:$B$51)</f>
        <v>Aisha Khan</v>
      </c>
      <c r="M274" s="3" t="str">
        <f>_xlfn.XLOOKUP(K274,Employees!$A$2:$A$51,Employees!$E$2:$E$51)</f>
        <v>Delhi</v>
      </c>
      <c r="N274" s="3" t="s">
        <v>43</v>
      </c>
      <c r="O274" s="3" t="s">
        <v>47</v>
      </c>
      <c r="P274" s="11"/>
    </row>
    <row r="275" spans="1:16" x14ac:dyDescent="0.25">
      <c r="A275" s="3" t="s">
        <v>1280</v>
      </c>
      <c r="B275" s="6">
        <v>45936</v>
      </c>
      <c r="C275" s="3" t="s">
        <v>1281</v>
      </c>
      <c r="D275" s="3" t="s">
        <v>1282</v>
      </c>
      <c r="E275" s="3" t="s">
        <v>159</v>
      </c>
      <c r="F275" s="3" t="s">
        <v>572</v>
      </c>
      <c r="G275" s="3" t="s">
        <v>39</v>
      </c>
      <c r="H275" s="3">
        <v>2</v>
      </c>
      <c r="I275" s="3">
        <v>9000</v>
      </c>
      <c r="J275" s="3">
        <v>18000</v>
      </c>
      <c r="K275" s="3" t="s">
        <v>94</v>
      </c>
      <c r="L275" s="3" t="str">
        <f>_xlfn.XLOOKUP(K275,Employees!$A$2:$A$51,Employees!$B$2:$B$51)</f>
        <v>Vikram Iyer</v>
      </c>
      <c r="M275" s="3" t="str">
        <f>_xlfn.XLOOKUP(K275,Employees!$A$2:$A$51,Employees!$E$2:$E$51)</f>
        <v>Bangalore</v>
      </c>
      <c r="N275" s="3" t="s">
        <v>43</v>
      </c>
      <c r="O275" s="3" t="s">
        <v>48</v>
      </c>
      <c r="P275" s="11"/>
    </row>
    <row r="276" spans="1:16" x14ac:dyDescent="0.25">
      <c r="A276" s="3" t="s">
        <v>1283</v>
      </c>
      <c r="B276" s="6">
        <v>45937</v>
      </c>
      <c r="C276" s="3" t="s">
        <v>1284</v>
      </c>
      <c r="D276" s="3" t="s">
        <v>1285</v>
      </c>
      <c r="E276" s="3" t="s">
        <v>160</v>
      </c>
      <c r="F276" s="3" t="s">
        <v>575</v>
      </c>
      <c r="G276" s="3" t="s">
        <v>40</v>
      </c>
      <c r="H276" s="3">
        <v>4</v>
      </c>
      <c r="I276" s="3">
        <v>600</v>
      </c>
      <c r="J276" s="3">
        <v>2400</v>
      </c>
      <c r="K276" s="3" t="s">
        <v>101</v>
      </c>
      <c r="L276" s="3" t="str">
        <f>_xlfn.XLOOKUP(K276,Employees!$A$2:$A$51,Employees!$B$2:$B$51)</f>
        <v>Neha Gupta</v>
      </c>
      <c r="M276" s="3" t="str">
        <f>_xlfn.XLOOKUP(K276,Employees!$A$2:$A$51,Employees!$E$2:$E$51)</f>
        <v>Mumbai</v>
      </c>
      <c r="N276" s="3" t="s">
        <v>43</v>
      </c>
      <c r="O276" s="3" t="s">
        <v>48</v>
      </c>
      <c r="P276" s="11"/>
    </row>
    <row r="277" spans="1:16" x14ac:dyDescent="0.25">
      <c r="A277" s="3" t="s">
        <v>1286</v>
      </c>
      <c r="B277" s="6">
        <v>45938</v>
      </c>
      <c r="C277" s="3" t="s">
        <v>1287</v>
      </c>
      <c r="D277" s="3" t="s">
        <v>1288</v>
      </c>
      <c r="E277" s="3" t="s">
        <v>161</v>
      </c>
      <c r="F277" s="3" t="s">
        <v>578</v>
      </c>
      <c r="G277" s="3" t="s">
        <v>36</v>
      </c>
      <c r="H277" s="3">
        <v>3</v>
      </c>
      <c r="I277" s="3">
        <v>21000</v>
      </c>
      <c r="J277" s="3">
        <v>63000</v>
      </c>
      <c r="K277" s="3" t="s">
        <v>105</v>
      </c>
      <c r="L277" s="3" t="str">
        <f>_xlfn.XLOOKUP(K277,Employees!$A$2:$A$51,Employees!$B$2:$B$51)</f>
        <v>Harish Ramanan</v>
      </c>
      <c r="M277" s="3" t="str">
        <f>_xlfn.XLOOKUP(K277,Employees!$A$2:$A$51,Employees!$E$2:$E$51)</f>
        <v>Chennai</v>
      </c>
      <c r="N277" s="3" t="s">
        <v>41</v>
      </c>
      <c r="O277" s="3" t="s">
        <v>48</v>
      </c>
      <c r="P277" s="11"/>
    </row>
    <row r="278" spans="1:16" x14ac:dyDescent="0.25">
      <c r="A278" s="3" t="s">
        <v>1289</v>
      </c>
      <c r="B278" s="6">
        <v>45939</v>
      </c>
      <c r="C278" s="3" t="s">
        <v>1290</v>
      </c>
      <c r="D278" s="3" t="s">
        <v>1291</v>
      </c>
      <c r="E278" s="3" t="s">
        <v>162</v>
      </c>
      <c r="F278" s="3" t="s">
        <v>581</v>
      </c>
      <c r="G278" s="3" t="s">
        <v>37</v>
      </c>
      <c r="H278" s="3">
        <v>2</v>
      </c>
      <c r="I278" s="3">
        <v>2500</v>
      </c>
      <c r="J278" s="3">
        <v>5000</v>
      </c>
      <c r="K278" s="3" t="s">
        <v>106</v>
      </c>
      <c r="L278" s="3" t="str">
        <f>_xlfn.XLOOKUP(K278,Employees!$A$2:$A$51,Employees!$B$2:$B$51)</f>
        <v>Lakshmi Devi</v>
      </c>
      <c r="M278" s="3" t="str">
        <f>_xlfn.XLOOKUP(K278,Employees!$A$2:$A$51,Employees!$E$2:$E$51)</f>
        <v>Bangalore</v>
      </c>
      <c r="N278" s="3" t="s">
        <v>45</v>
      </c>
      <c r="O278" s="3" t="s">
        <v>46</v>
      </c>
      <c r="P278" s="11"/>
    </row>
    <row r="279" spans="1:16" x14ac:dyDescent="0.25">
      <c r="A279" s="3" t="s">
        <v>1292</v>
      </c>
      <c r="B279" s="6">
        <v>45940</v>
      </c>
      <c r="C279" s="3" t="s">
        <v>1293</v>
      </c>
      <c r="D279" s="3" t="s">
        <v>1294</v>
      </c>
      <c r="E279" s="3" t="s">
        <v>163</v>
      </c>
      <c r="F279" s="3" t="s">
        <v>584</v>
      </c>
      <c r="G279" s="3" t="s">
        <v>38</v>
      </c>
      <c r="H279" s="3">
        <v>8</v>
      </c>
      <c r="I279" s="3">
        <v>700</v>
      </c>
      <c r="J279" s="3">
        <v>5600</v>
      </c>
      <c r="K279" s="3" t="s">
        <v>107</v>
      </c>
      <c r="L279" s="3" t="str">
        <f>_xlfn.XLOOKUP(K279,Employees!$A$2:$A$51,Employees!$B$2:$B$51)</f>
        <v>Mohammed Ali</v>
      </c>
      <c r="M279" s="3" t="str">
        <f>_xlfn.XLOOKUP(K279,Employees!$A$2:$A$51,Employees!$E$2:$E$51)</f>
        <v>Hydrabed</v>
      </c>
      <c r="N279" s="3" t="s">
        <v>44</v>
      </c>
      <c r="O279" s="3" t="s">
        <v>49</v>
      </c>
      <c r="P279" s="11"/>
    </row>
    <row r="280" spans="1:16" x14ac:dyDescent="0.25">
      <c r="A280" s="3" t="s">
        <v>1295</v>
      </c>
      <c r="B280" s="6">
        <v>45941</v>
      </c>
      <c r="C280" s="3" t="s">
        <v>1296</v>
      </c>
      <c r="D280" s="3" t="s">
        <v>1297</v>
      </c>
      <c r="E280" s="3" t="s">
        <v>164</v>
      </c>
      <c r="F280" s="3" t="s">
        <v>587</v>
      </c>
      <c r="G280" s="3" t="s">
        <v>39</v>
      </c>
      <c r="H280" s="3">
        <v>1</v>
      </c>
      <c r="I280" s="3">
        <v>18000</v>
      </c>
      <c r="J280" s="3">
        <v>18000</v>
      </c>
      <c r="K280" s="3" t="s">
        <v>108</v>
      </c>
      <c r="L280" s="3" t="str">
        <f>_xlfn.XLOOKUP(K280,Employees!$A$2:$A$51,Employees!$B$2:$B$51)</f>
        <v>Kavya Srinivas</v>
      </c>
      <c r="M280" s="3" t="str">
        <f>_xlfn.XLOOKUP(K280,Employees!$A$2:$A$51,Employees!$E$2:$E$51)</f>
        <v>Delhi</v>
      </c>
      <c r="N280" s="3" t="s">
        <v>42</v>
      </c>
      <c r="O280" s="3" t="s">
        <v>46</v>
      </c>
      <c r="P280" s="11"/>
    </row>
    <row r="281" spans="1:16" x14ac:dyDescent="0.25">
      <c r="A281" s="3" t="s">
        <v>1298</v>
      </c>
      <c r="B281" s="6">
        <v>45942</v>
      </c>
      <c r="C281" s="3" t="s">
        <v>1299</v>
      </c>
      <c r="D281" s="3" t="s">
        <v>1300</v>
      </c>
      <c r="E281" s="3" t="s">
        <v>165</v>
      </c>
      <c r="F281" s="3" t="s">
        <v>590</v>
      </c>
      <c r="G281" s="3" t="s">
        <v>40</v>
      </c>
      <c r="H281" s="3">
        <v>5</v>
      </c>
      <c r="I281" s="3">
        <v>900</v>
      </c>
      <c r="J281" s="3">
        <v>4500</v>
      </c>
      <c r="K281" s="3" t="s">
        <v>109</v>
      </c>
      <c r="L281" s="3" t="str">
        <f>_xlfn.XLOOKUP(K281,Employees!$A$2:$A$51,Employees!$B$2:$B$51)</f>
        <v>Rakesh Sharma</v>
      </c>
      <c r="M281" s="3" t="str">
        <f>_xlfn.XLOOKUP(K281,Employees!$A$2:$A$51,Employees!$E$2:$E$51)</f>
        <v>Mumbai</v>
      </c>
      <c r="N281" s="3" t="s">
        <v>43</v>
      </c>
      <c r="O281" s="3" t="s">
        <v>48</v>
      </c>
      <c r="P281" s="11"/>
    </row>
    <row r="282" spans="1:16" x14ac:dyDescent="0.25">
      <c r="A282" s="3" t="s">
        <v>1301</v>
      </c>
      <c r="B282" s="6">
        <v>45943</v>
      </c>
      <c r="C282" s="3" t="s">
        <v>1302</v>
      </c>
      <c r="D282" s="3" t="s">
        <v>1303</v>
      </c>
      <c r="E282" s="3" t="s">
        <v>166</v>
      </c>
      <c r="F282" s="3" t="s">
        <v>593</v>
      </c>
      <c r="G282" s="3" t="s">
        <v>36</v>
      </c>
      <c r="H282" s="3">
        <v>3</v>
      </c>
      <c r="I282" s="3">
        <v>15000</v>
      </c>
      <c r="J282" s="3">
        <v>45000</v>
      </c>
      <c r="K282" s="3" t="s">
        <v>51</v>
      </c>
      <c r="L282" s="3" t="str">
        <f>_xlfn.XLOOKUP(K282,Employees!$A$2:$A$51,Employees!$B$2:$B$51)</f>
        <v>Arjun Kumar</v>
      </c>
      <c r="M282" s="3" t="str">
        <f>_xlfn.XLOOKUP(K282,Employees!$A$2:$A$51,Employees!$E$2:$E$51)</f>
        <v>Chennai</v>
      </c>
      <c r="N282" s="3" t="s">
        <v>45</v>
      </c>
      <c r="O282" s="3" t="s">
        <v>49</v>
      </c>
      <c r="P282" s="11"/>
    </row>
    <row r="283" spans="1:16" x14ac:dyDescent="0.25">
      <c r="A283" s="3" t="s">
        <v>1304</v>
      </c>
      <c r="B283" s="6">
        <v>45944</v>
      </c>
      <c r="C283" s="3" t="s">
        <v>1305</v>
      </c>
      <c r="D283" s="3" t="s">
        <v>1306</v>
      </c>
      <c r="E283" s="3" t="s">
        <v>167</v>
      </c>
      <c r="F283" s="3" t="s">
        <v>596</v>
      </c>
      <c r="G283" s="3" t="s">
        <v>37</v>
      </c>
      <c r="H283" s="3">
        <v>2</v>
      </c>
      <c r="I283" s="3">
        <v>3000</v>
      </c>
      <c r="J283" s="3">
        <v>6000</v>
      </c>
      <c r="K283" s="3" t="s">
        <v>52</v>
      </c>
      <c r="L283" s="3" t="str">
        <f>_xlfn.XLOOKUP(K283,Employees!$A$2:$A$51,Employees!$B$2:$B$51)</f>
        <v>Priya Sharma</v>
      </c>
      <c r="M283" s="3" t="str">
        <f>_xlfn.XLOOKUP(K283,Employees!$A$2:$A$51,Employees!$E$2:$E$51)</f>
        <v>Bangalore</v>
      </c>
      <c r="N283" s="3" t="s">
        <v>45</v>
      </c>
      <c r="O283" s="3" t="s">
        <v>48</v>
      </c>
      <c r="P283" s="11"/>
    </row>
    <row r="284" spans="1:16" x14ac:dyDescent="0.25">
      <c r="A284" s="3" t="s">
        <v>1307</v>
      </c>
      <c r="B284" s="6">
        <v>45945</v>
      </c>
      <c r="C284" s="3" t="s">
        <v>1308</v>
      </c>
      <c r="D284" s="3" t="s">
        <v>1309</v>
      </c>
      <c r="E284" s="3" t="s">
        <v>168</v>
      </c>
      <c r="F284" s="3" t="s">
        <v>599</v>
      </c>
      <c r="G284" s="3" t="s">
        <v>38</v>
      </c>
      <c r="H284" s="3">
        <v>7</v>
      </c>
      <c r="I284" s="3">
        <v>400</v>
      </c>
      <c r="J284" s="3">
        <v>2800</v>
      </c>
      <c r="K284" s="3" t="s">
        <v>53</v>
      </c>
      <c r="L284" s="3" t="str">
        <f>_xlfn.XLOOKUP(K284,Employees!$A$2:$A$51,Employees!$B$2:$B$51)</f>
        <v>Rahul Verma</v>
      </c>
      <c r="M284" s="3" t="str">
        <f>_xlfn.XLOOKUP(K284,Employees!$A$2:$A$51,Employees!$E$2:$E$51)</f>
        <v>Hydrabed</v>
      </c>
      <c r="N284" s="3" t="s">
        <v>42</v>
      </c>
      <c r="O284" s="3" t="s">
        <v>46</v>
      </c>
      <c r="P284" s="11"/>
    </row>
    <row r="285" spans="1:16" x14ac:dyDescent="0.25">
      <c r="A285" s="3" t="s">
        <v>1310</v>
      </c>
      <c r="B285" s="6">
        <v>45946</v>
      </c>
      <c r="C285" s="3" t="s">
        <v>1311</v>
      </c>
      <c r="D285" s="3" t="s">
        <v>1312</v>
      </c>
      <c r="E285" s="3" t="s">
        <v>169</v>
      </c>
      <c r="F285" s="3" t="s">
        <v>602</v>
      </c>
      <c r="G285" s="3" t="s">
        <v>39</v>
      </c>
      <c r="H285" s="3">
        <v>1</v>
      </c>
      <c r="I285" s="3">
        <v>11000</v>
      </c>
      <c r="J285" s="3">
        <v>11000</v>
      </c>
      <c r="K285" s="3" t="s">
        <v>54</v>
      </c>
      <c r="L285" s="3" t="str">
        <f>_xlfn.XLOOKUP(K285,Employees!$A$2:$A$51,Employees!$B$2:$B$51)</f>
        <v>Sneha Reddy</v>
      </c>
      <c r="M285" s="3" t="str">
        <f>_xlfn.XLOOKUP(K285,Employees!$A$2:$A$51,Employees!$E$2:$E$51)</f>
        <v>Chennai</v>
      </c>
      <c r="N285" s="3" t="s">
        <v>43</v>
      </c>
      <c r="O285" s="3" t="s">
        <v>47</v>
      </c>
      <c r="P285" s="11"/>
    </row>
    <row r="286" spans="1:16" x14ac:dyDescent="0.25">
      <c r="A286" s="3" t="s">
        <v>1313</v>
      </c>
      <c r="B286" s="6">
        <v>45947</v>
      </c>
      <c r="C286" s="3" t="s">
        <v>1314</v>
      </c>
      <c r="D286" s="3" t="s">
        <v>1315</v>
      </c>
      <c r="E286" s="3" t="s">
        <v>170</v>
      </c>
      <c r="F286" s="3" t="s">
        <v>605</v>
      </c>
      <c r="G286" s="3" t="s">
        <v>40</v>
      </c>
      <c r="H286" s="3">
        <v>4</v>
      </c>
      <c r="I286" s="3">
        <v>750</v>
      </c>
      <c r="J286" s="3">
        <v>3000</v>
      </c>
      <c r="K286" s="3" t="s">
        <v>55</v>
      </c>
      <c r="L286" s="3" t="str">
        <f>_xlfn.XLOOKUP(K286,Employees!$A$2:$A$51,Employees!$B$2:$B$51)</f>
        <v>Karthik Raj</v>
      </c>
      <c r="M286" s="3" t="str">
        <f>_xlfn.XLOOKUP(K286,Employees!$A$2:$A$51,Employees!$E$2:$E$51)</f>
        <v>Bangalore</v>
      </c>
      <c r="N286" s="3" t="s">
        <v>45</v>
      </c>
      <c r="O286" s="3" t="s">
        <v>49</v>
      </c>
      <c r="P286" s="11"/>
    </row>
    <row r="287" spans="1:16" x14ac:dyDescent="0.25">
      <c r="A287" s="3" t="s">
        <v>1316</v>
      </c>
      <c r="B287" s="6">
        <v>45948</v>
      </c>
      <c r="C287" s="3" t="s">
        <v>1317</v>
      </c>
      <c r="D287" s="3" t="s">
        <v>1318</v>
      </c>
      <c r="E287" s="3" t="s">
        <v>171</v>
      </c>
      <c r="F287" s="3" t="s">
        <v>608</v>
      </c>
      <c r="G287" s="3" t="s">
        <v>36</v>
      </c>
      <c r="H287" s="3">
        <v>2</v>
      </c>
      <c r="I287" s="3">
        <v>28000</v>
      </c>
      <c r="J287" s="3">
        <v>56000</v>
      </c>
      <c r="K287" s="3" t="s">
        <v>56</v>
      </c>
      <c r="L287" s="3" t="str">
        <f>_xlfn.XLOOKUP(K287,Employees!$A$2:$A$51,Employees!$B$2:$B$51)</f>
        <v xml:space="preserve">Divya Nair </v>
      </c>
      <c r="M287" s="3" t="str">
        <f>_xlfn.XLOOKUP(K287,Employees!$A$2:$A$51,Employees!$E$2:$E$51)</f>
        <v>Hydrabed</v>
      </c>
      <c r="N287" s="3" t="s">
        <v>43</v>
      </c>
      <c r="O287" s="3" t="s">
        <v>49</v>
      </c>
      <c r="P287" s="11"/>
    </row>
    <row r="288" spans="1:16" x14ac:dyDescent="0.25">
      <c r="A288" s="3" t="s">
        <v>1319</v>
      </c>
      <c r="B288" s="6">
        <v>45949</v>
      </c>
      <c r="C288" s="3" t="s">
        <v>1320</v>
      </c>
      <c r="D288" s="3" t="s">
        <v>1321</v>
      </c>
      <c r="E288" s="3" t="s">
        <v>172</v>
      </c>
      <c r="F288" s="3" t="s">
        <v>611</v>
      </c>
      <c r="G288" s="3" t="s">
        <v>37</v>
      </c>
      <c r="H288" s="3">
        <v>5</v>
      </c>
      <c r="I288" s="3">
        <v>1200</v>
      </c>
      <c r="J288" s="3">
        <v>6000</v>
      </c>
      <c r="K288" s="3" t="s">
        <v>57</v>
      </c>
      <c r="L288" s="3" t="str">
        <f>_xlfn.XLOOKUP(K288,Employees!$A$2:$A$51,Employees!$B$2:$B$51)</f>
        <v>Ajay Singh</v>
      </c>
      <c r="M288" s="3" t="str">
        <f>_xlfn.XLOOKUP(K288,Employees!$A$2:$A$51,Employees!$E$2:$E$51)</f>
        <v>Chennai</v>
      </c>
      <c r="N288" s="3" t="s">
        <v>44</v>
      </c>
      <c r="O288" s="3" t="s">
        <v>49</v>
      </c>
      <c r="P288" s="11"/>
    </row>
    <row r="289" spans="1:16" x14ac:dyDescent="0.25">
      <c r="A289" s="3" t="s">
        <v>1322</v>
      </c>
      <c r="B289" s="6">
        <v>45950</v>
      </c>
      <c r="C289" s="3" t="s">
        <v>1323</v>
      </c>
      <c r="D289" s="3" t="s">
        <v>1324</v>
      </c>
      <c r="E289" s="3" t="s">
        <v>173</v>
      </c>
      <c r="F289" s="3" t="s">
        <v>614</v>
      </c>
      <c r="G289" s="3" t="s">
        <v>38</v>
      </c>
      <c r="H289" s="3">
        <v>3</v>
      </c>
      <c r="I289" s="3">
        <v>900</v>
      </c>
      <c r="J289" s="3">
        <v>2700</v>
      </c>
      <c r="K289" s="3" t="s">
        <v>58</v>
      </c>
      <c r="L289" s="3" t="str">
        <f>_xlfn.XLOOKUP(K289,Employees!$A$2:$A$51,Employees!$B$2:$B$51)</f>
        <v>Meera Joshi</v>
      </c>
      <c r="M289" s="3" t="str">
        <f>_xlfn.XLOOKUP(K289,Employees!$A$2:$A$51,Employees!$E$2:$E$51)</f>
        <v>Mumbai</v>
      </c>
      <c r="N289" s="3" t="s">
        <v>41</v>
      </c>
      <c r="O289" s="3" t="s">
        <v>48</v>
      </c>
      <c r="P289" s="11"/>
    </row>
    <row r="290" spans="1:16" x14ac:dyDescent="0.25">
      <c r="A290" s="3" t="s">
        <v>1325</v>
      </c>
      <c r="B290" s="6">
        <v>45951</v>
      </c>
      <c r="C290" s="3" t="s">
        <v>1326</v>
      </c>
      <c r="D290" s="3" t="s">
        <v>1327</v>
      </c>
      <c r="E290" s="3" t="s">
        <v>174</v>
      </c>
      <c r="F290" s="3" t="s">
        <v>617</v>
      </c>
      <c r="G290" s="3" t="s">
        <v>39</v>
      </c>
      <c r="H290" s="3">
        <v>2</v>
      </c>
      <c r="I290" s="3">
        <v>13000</v>
      </c>
      <c r="J290" s="3">
        <v>26000</v>
      </c>
      <c r="K290" s="3" t="s">
        <v>59</v>
      </c>
      <c r="L290" s="3" t="str">
        <f>_xlfn.XLOOKUP(K290,Employees!$A$2:$A$51,Employees!$B$2:$B$51)</f>
        <v>Sanjay Kumar</v>
      </c>
      <c r="M290" s="3" t="str">
        <f>_xlfn.XLOOKUP(K290,Employees!$A$2:$A$51,Employees!$E$2:$E$51)</f>
        <v>Delhi</v>
      </c>
      <c r="N290" s="3" t="s">
        <v>41</v>
      </c>
      <c r="O290" s="3" t="s">
        <v>49</v>
      </c>
      <c r="P290" s="11"/>
    </row>
    <row r="291" spans="1:16" x14ac:dyDescent="0.25">
      <c r="A291" s="3" t="s">
        <v>1328</v>
      </c>
      <c r="B291" s="6">
        <v>45952</v>
      </c>
      <c r="C291" s="3" t="s">
        <v>1329</v>
      </c>
      <c r="D291" s="3" t="s">
        <v>1330</v>
      </c>
      <c r="E291" s="3" t="s">
        <v>175</v>
      </c>
      <c r="F291" s="3" t="s">
        <v>620</v>
      </c>
      <c r="G291" s="3" t="s">
        <v>40</v>
      </c>
      <c r="H291" s="3">
        <v>6</v>
      </c>
      <c r="I291" s="3">
        <v>500</v>
      </c>
      <c r="J291" s="3">
        <v>3000</v>
      </c>
      <c r="K291" s="3" t="s">
        <v>60</v>
      </c>
      <c r="L291" s="3" t="str">
        <f>_xlfn.XLOOKUP(K291,Employees!$A$2:$A$51,Employees!$B$2:$B$51)</f>
        <v>Pooja Patel</v>
      </c>
      <c r="M291" s="3" t="str">
        <f>_xlfn.XLOOKUP(K291,Employees!$A$2:$A$51,Employees!$E$2:$E$51)</f>
        <v>Bangalore</v>
      </c>
      <c r="N291" s="3" t="s">
        <v>43</v>
      </c>
      <c r="O291" s="3" t="s">
        <v>46</v>
      </c>
      <c r="P291" s="11"/>
    </row>
    <row r="292" spans="1:16" x14ac:dyDescent="0.25">
      <c r="A292" s="3" t="s">
        <v>1331</v>
      </c>
      <c r="B292" s="6">
        <v>45953</v>
      </c>
      <c r="C292" s="3" t="s">
        <v>1332</v>
      </c>
      <c r="D292" s="3" t="s">
        <v>1333</v>
      </c>
      <c r="E292" s="3" t="s">
        <v>119</v>
      </c>
      <c r="F292" s="3" t="s">
        <v>533</v>
      </c>
      <c r="G292" s="3" t="s">
        <v>36</v>
      </c>
      <c r="H292" s="3">
        <v>1</v>
      </c>
      <c r="I292" s="3">
        <v>25000</v>
      </c>
      <c r="J292" s="3">
        <v>25000</v>
      </c>
      <c r="K292" s="3" t="s">
        <v>91</v>
      </c>
      <c r="L292" s="3" t="str">
        <f>_xlfn.XLOOKUP(K292,Employees!$A$2:$A$51,Employees!$B$2:$B$51)</f>
        <v>Nithya Krishnan</v>
      </c>
      <c r="M292" s="3" t="str">
        <f>_xlfn.XLOOKUP(K292,Employees!$A$2:$A$51,Employees!$E$2:$E$51)</f>
        <v>Chennai</v>
      </c>
      <c r="N292" s="3" t="s">
        <v>43</v>
      </c>
      <c r="O292" s="3" t="s">
        <v>47</v>
      </c>
      <c r="P292" s="11"/>
    </row>
    <row r="293" spans="1:16" x14ac:dyDescent="0.25">
      <c r="A293" s="3" t="s">
        <v>1334</v>
      </c>
      <c r="B293" s="6">
        <v>45954</v>
      </c>
      <c r="C293" s="3" t="s">
        <v>1335</v>
      </c>
      <c r="D293" s="3" t="s">
        <v>1336</v>
      </c>
      <c r="E293" s="3" t="s">
        <v>120</v>
      </c>
      <c r="F293" s="3" t="s">
        <v>536</v>
      </c>
      <c r="G293" s="3" t="s">
        <v>37</v>
      </c>
      <c r="H293" s="3">
        <v>2</v>
      </c>
      <c r="I293" s="3">
        <v>1500</v>
      </c>
      <c r="J293" s="3">
        <v>3000</v>
      </c>
      <c r="K293" s="3" t="s">
        <v>92</v>
      </c>
      <c r="L293" s="3" t="str">
        <f>_xlfn.XLOOKUP(K293,Employees!$A$2:$A$51,Employees!$B$2:$B$51)</f>
        <v>Rohit Mehta</v>
      </c>
      <c r="M293" s="3" t="str">
        <f>_xlfn.XLOOKUP(K293,Employees!$A$2:$A$51,Employees!$E$2:$E$51)</f>
        <v>Hydrabed</v>
      </c>
      <c r="N293" s="3" t="s">
        <v>45</v>
      </c>
      <c r="O293" s="3" t="s">
        <v>46</v>
      </c>
      <c r="P293" s="11"/>
    </row>
    <row r="294" spans="1:16" x14ac:dyDescent="0.25">
      <c r="A294" s="3" t="s">
        <v>1337</v>
      </c>
      <c r="B294" s="6">
        <v>45955</v>
      </c>
      <c r="C294" s="3" t="s">
        <v>1338</v>
      </c>
      <c r="D294" s="3" t="s">
        <v>1339</v>
      </c>
      <c r="E294" s="3" t="s">
        <v>121</v>
      </c>
      <c r="F294" s="3" t="s">
        <v>539</v>
      </c>
      <c r="G294" s="3" t="s">
        <v>38</v>
      </c>
      <c r="H294" s="3">
        <v>10</v>
      </c>
      <c r="I294" s="3">
        <v>500</v>
      </c>
      <c r="J294" s="3">
        <v>5000</v>
      </c>
      <c r="K294" s="3" t="s">
        <v>93</v>
      </c>
      <c r="L294" s="3" t="str">
        <f>_xlfn.XLOOKUP(K294,Employees!$A$2:$A$51,Employees!$B$2:$B$51)</f>
        <v>Aisha Khan</v>
      </c>
      <c r="M294" s="3" t="str">
        <f>_xlfn.XLOOKUP(K294,Employees!$A$2:$A$51,Employees!$E$2:$E$51)</f>
        <v>Delhi</v>
      </c>
      <c r="N294" s="3" t="s">
        <v>41</v>
      </c>
      <c r="O294" s="3" t="s">
        <v>46</v>
      </c>
      <c r="P294" s="11"/>
    </row>
    <row r="295" spans="1:16" x14ac:dyDescent="0.25">
      <c r="A295" s="3" t="s">
        <v>1340</v>
      </c>
      <c r="B295" s="6">
        <v>45956</v>
      </c>
      <c r="C295" s="3" t="s">
        <v>1341</v>
      </c>
      <c r="D295" s="3" t="s">
        <v>1342</v>
      </c>
      <c r="E295" s="3" t="s">
        <v>122</v>
      </c>
      <c r="F295" s="3" t="s">
        <v>542</v>
      </c>
      <c r="G295" s="3" t="s">
        <v>39</v>
      </c>
      <c r="H295" s="3">
        <v>1</v>
      </c>
      <c r="I295" s="3">
        <v>12000</v>
      </c>
      <c r="J295" s="3">
        <v>12000</v>
      </c>
      <c r="K295" s="3" t="s">
        <v>94</v>
      </c>
      <c r="L295" s="3" t="str">
        <f>_xlfn.XLOOKUP(K295,Employees!$A$2:$A$51,Employees!$B$2:$B$51)</f>
        <v>Vikram Iyer</v>
      </c>
      <c r="M295" s="3" t="str">
        <f>_xlfn.XLOOKUP(K295,Employees!$A$2:$A$51,Employees!$E$2:$E$51)</f>
        <v>Bangalore</v>
      </c>
      <c r="N295" s="3" t="s">
        <v>44</v>
      </c>
      <c r="O295" s="3" t="s">
        <v>49</v>
      </c>
      <c r="P295" s="11"/>
    </row>
    <row r="296" spans="1:16" x14ac:dyDescent="0.25">
      <c r="A296" s="3" t="s">
        <v>1343</v>
      </c>
      <c r="B296" s="6">
        <v>45957</v>
      </c>
      <c r="C296" s="3" t="s">
        <v>1344</v>
      </c>
      <c r="D296" s="3" t="s">
        <v>1345</v>
      </c>
      <c r="E296" s="3" t="s">
        <v>123</v>
      </c>
      <c r="F296" s="3" t="s">
        <v>545</v>
      </c>
      <c r="G296" s="3" t="s">
        <v>40</v>
      </c>
      <c r="H296" s="3">
        <v>3</v>
      </c>
      <c r="I296" s="3">
        <v>800</v>
      </c>
      <c r="J296" s="3">
        <v>2400</v>
      </c>
      <c r="K296" s="3" t="s">
        <v>101</v>
      </c>
      <c r="L296" s="3" t="str">
        <f>_xlfn.XLOOKUP(K296,Employees!$A$2:$A$51,Employees!$B$2:$B$51)</f>
        <v>Neha Gupta</v>
      </c>
      <c r="M296" s="3" t="str">
        <f>_xlfn.XLOOKUP(K296,Employees!$A$2:$A$51,Employees!$E$2:$E$51)</f>
        <v>Mumbai</v>
      </c>
      <c r="N296" s="3" t="s">
        <v>45</v>
      </c>
      <c r="O296" s="3" t="s">
        <v>47</v>
      </c>
      <c r="P296" s="11"/>
    </row>
    <row r="297" spans="1:16" x14ac:dyDescent="0.25">
      <c r="A297" s="3" t="s">
        <v>1346</v>
      </c>
      <c r="B297" s="6">
        <v>45958</v>
      </c>
      <c r="C297" s="3" t="s">
        <v>1347</v>
      </c>
      <c r="D297" s="3" t="s">
        <v>1348</v>
      </c>
      <c r="E297" s="3" t="s">
        <v>124</v>
      </c>
      <c r="F297" s="3" t="s">
        <v>548</v>
      </c>
      <c r="G297" s="3" t="s">
        <v>36</v>
      </c>
      <c r="H297" s="3">
        <v>2</v>
      </c>
      <c r="I297" s="3">
        <v>18000</v>
      </c>
      <c r="J297" s="3">
        <v>36000</v>
      </c>
      <c r="K297" s="3" t="s">
        <v>105</v>
      </c>
      <c r="L297" s="3" t="str">
        <f>_xlfn.XLOOKUP(K297,Employees!$A$2:$A$51,Employees!$B$2:$B$51)</f>
        <v>Harish Ramanan</v>
      </c>
      <c r="M297" s="3" t="str">
        <f>_xlfn.XLOOKUP(K297,Employees!$A$2:$A$51,Employees!$E$2:$E$51)</f>
        <v>Chennai</v>
      </c>
      <c r="N297" s="3" t="s">
        <v>43</v>
      </c>
      <c r="O297" s="3" t="s">
        <v>46</v>
      </c>
      <c r="P297" s="11"/>
    </row>
    <row r="298" spans="1:16" x14ac:dyDescent="0.25">
      <c r="A298" s="3" t="s">
        <v>1349</v>
      </c>
      <c r="B298" s="6">
        <v>45959</v>
      </c>
      <c r="C298" s="3" t="s">
        <v>1350</v>
      </c>
      <c r="D298" s="3" t="s">
        <v>1351</v>
      </c>
      <c r="E298" s="3" t="s">
        <v>125</v>
      </c>
      <c r="F298" s="3" t="s">
        <v>551</v>
      </c>
      <c r="G298" s="3" t="s">
        <v>37</v>
      </c>
      <c r="H298" s="3">
        <v>4</v>
      </c>
      <c r="I298" s="3">
        <v>2200</v>
      </c>
      <c r="J298" s="3">
        <v>8800</v>
      </c>
      <c r="K298" s="3" t="s">
        <v>106</v>
      </c>
      <c r="L298" s="3" t="str">
        <f>_xlfn.XLOOKUP(K298,Employees!$A$2:$A$51,Employees!$B$2:$B$51)</f>
        <v>Lakshmi Devi</v>
      </c>
      <c r="M298" s="3" t="str">
        <f>_xlfn.XLOOKUP(K298,Employees!$A$2:$A$51,Employees!$E$2:$E$51)</f>
        <v>Bangalore</v>
      </c>
      <c r="N298" s="3" t="s">
        <v>41</v>
      </c>
      <c r="O298" s="3" t="s">
        <v>49</v>
      </c>
      <c r="P298" s="11"/>
    </row>
    <row r="299" spans="1:16" x14ac:dyDescent="0.25">
      <c r="A299" s="3" t="s">
        <v>1352</v>
      </c>
      <c r="B299" s="6">
        <v>45960</v>
      </c>
      <c r="C299" s="3" t="s">
        <v>1353</v>
      </c>
      <c r="D299" s="3" t="s">
        <v>1354</v>
      </c>
      <c r="E299" s="3" t="s">
        <v>126</v>
      </c>
      <c r="F299" s="3" t="s">
        <v>554</v>
      </c>
      <c r="G299" s="3" t="s">
        <v>38</v>
      </c>
      <c r="H299" s="3">
        <v>5</v>
      </c>
      <c r="I299" s="3">
        <v>300</v>
      </c>
      <c r="J299" s="3">
        <v>1500</v>
      </c>
      <c r="K299" s="3" t="s">
        <v>107</v>
      </c>
      <c r="L299" s="3" t="str">
        <f>_xlfn.XLOOKUP(K299,Employees!$A$2:$A$51,Employees!$B$2:$B$51)</f>
        <v>Mohammed Ali</v>
      </c>
      <c r="M299" s="3" t="str">
        <f>_xlfn.XLOOKUP(K299,Employees!$A$2:$A$51,Employees!$E$2:$E$51)</f>
        <v>Hydrabed</v>
      </c>
      <c r="N299" s="3" t="s">
        <v>41</v>
      </c>
      <c r="O299" s="3" t="s">
        <v>46</v>
      </c>
      <c r="P299" s="11"/>
    </row>
    <row r="300" spans="1:16" x14ac:dyDescent="0.25">
      <c r="A300" s="3" t="s">
        <v>1355</v>
      </c>
      <c r="B300" s="6">
        <v>45961</v>
      </c>
      <c r="C300" s="3" t="s">
        <v>1356</v>
      </c>
      <c r="D300" s="3" t="s">
        <v>1357</v>
      </c>
      <c r="E300" s="3" t="s">
        <v>127</v>
      </c>
      <c r="F300" s="3" t="s">
        <v>557</v>
      </c>
      <c r="G300" s="3" t="s">
        <v>39</v>
      </c>
      <c r="H300" s="3">
        <v>2</v>
      </c>
      <c r="I300" s="3">
        <v>15000</v>
      </c>
      <c r="J300" s="3">
        <v>30000</v>
      </c>
      <c r="K300" s="3" t="s">
        <v>108</v>
      </c>
      <c r="L300" s="3" t="str">
        <f>_xlfn.XLOOKUP(K300,Employees!$A$2:$A$51,Employees!$B$2:$B$51)</f>
        <v>Kavya Srinivas</v>
      </c>
      <c r="M300" s="3" t="str">
        <f>_xlfn.XLOOKUP(K300,Employees!$A$2:$A$51,Employees!$E$2:$E$51)</f>
        <v>Delhi</v>
      </c>
      <c r="N300" s="3" t="s">
        <v>42</v>
      </c>
      <c r="O300" s="3" t="s">
        <v>47</v>
      </c>
      <c r="P300" s="11"/>
    </row>
    <row r="301" spans="1:16" x14ac:dyDescent="0.25">
      <c r="A301" s="3" t="s">
        <v>1358</v>
      </c>
      <c r="B301" s="6">
        <v>45962</v>
      </c>
      <c r="C301" s="3" t="s">
        <v>1359</v>
      </c>
      <c r="D301" s="3" t="s">
        <v>1360</v>
      </c>
      <c r="E301" s="3" t="s">
        <v>128</v>
      </c>
      <c r="F301" s="3" t="s">
        <v>560</v>
      </c>
      <c r="G301" s="3" t="s">
        <v>40</v>
      </c>
      <c r="H301" s="3">
        <v>3</v>
      </c>
      <c r="I301" s="3">
        <v>1200</v>
      </c>
      <c r="J301" s="3">
        <v>3600</v>
      </c>
      <c r="K301" s="3" t="s">
        <v>109</v>
      </c>
      <c r="L301" s="3" t="str">
        <f>_xlfn.XLOOKUP(K301,Employees!$A$2:$A$51,Employees!$B$2:$B$51)</f>
        <v>Rakesh Sharma</v>
      </c>
      <c r="M301" s="3" t="str">
        <f>_xlfn.XLOOKUP(K301,Employees!$A$2:$A$51,Employees!$E$2:$E$51)</f>
        <v>Mumbai</v>
      </c>
      <c r="N301" s="3" t="s">
        <v>41</v>
      </c>
      <c r="O301" s="3" t="s">
        <v>46</v>
      </c>
      <c r="P301" s="11"/>
    </row>
    <row r="302" spans="1:16" x14ac:dyDescent="0.25">
      <c r="A302" s="3" t="s">
        <v>1361</v>
      </c>
      <c r="B302" s="6">
        <v>45963</v>
      </c>
      <c r="C302" s="3" t="s">
        <v>1362</v>
      </c>
      <c r="D302" s="3" t="s">
        <v>1363</v>
      </c>
      <c r="E302" s="3" t="s">
        <v>156</v>
      </c>
      <c r="F302" s="3" t="s">
        <v>563</v>
      </c>
      <c r="G302" s="3" t="s">
        <v>36</v>
      </c>
      <c r="H302" s="3">
        <v>2</v>
      </c>
      <c r="I302" s="3">
        <v>32000</v>
      </c>
      <c r="J302" s="3">
        <v>64000</v>
      </c>
      <c r="K302" s="3" t="s">
        <v>51</v>
      </c>
      <c r="L302" s="3" t="str">
        <f>_xlfn.XLOOKUP(K302,Employees!$A$2:$A$51,Employees!$B$2:$B$51)</f>
        <v>Arjun Kumar</v>
      </c>
      <c r="M302" s="3" t="str">
        <f>_xlfn.XLOOKUP(K302,Employees!$A$2:$A$51,Employees!$E$2:$E$51)</f>
        <v>Chennai</v>
      </c>
      <c r="N302" s="3" t="s">
        <v>44</v>
      </c>
      <c r="O302" s="3" t="s">
        <v>48</v>
      </c>
      <c r="P302" s="11"/>
    </row>
    <row r="303" spans="1:16" x14ac:dyDescent="0.25">
      <c r="A303" s="3" t="s">
        <v>1364</v>
      </c>
      <c r="B303" s="6">
        <v>45964</v>
      </c>
      <c r="C303" s="3" t="s">
        <v>1365</v>
      </c>
      <c r="D303" s="3" t="s">
        <v>1366</v>
      </c>
      <c r="E303" s="3" t="s">
        <v>157</v>
      </c>
      <c r="F303" s="3" t="s">
        <v>566</v>
      </c>
      <c r="G303" s="3" t="s">
        <v>37</v>
      </c>
      <c r="H303" s="3">
        <v>1</v>
      </c>
      <c r="I303" s="3">
        <v>1800</v>
      </c>
      <c r="J303" s="3">
        <v>1800</v>
      </c>
      <c r="K303" s="3" t="s">
        <v>52</v>
      </c>
      <c r="L303" s="3" t="str">
        <f>_xlfn.XLOOKUP(K303,Employees!$A$2:$A$51,Employees!$B$2:$B$51)</f>
        <v>Priya Sharma</v>
      </c>
      <c r="M303" s="3" t="str">
        <f>_xlfn.XLOOKUP(K303,Employees!$A$2:$A$51,Employees!$E$2:$E$51)</f>
        <v>Bangalore</v>
      </c>
      <c r="N303" s="3" t="s">
        <v>43</v>
      </c>
      <c r="O303" s="3" t="s">
        <v>49</v>
      </c>
      <c r="P303" s="11"/>
    </row>
    <row r="304" spans="1:16" x14ac:dyDescent="0.25">
      <c r="A304" s="3" t="s">
        <v>1367</v>
      </c>
      <c r="B304" s="6">
        <v>45965</v>
      </c>
      <c r="C304" s="3" t="s">
        <v>1368</v>
      </c>
      <c r="D304" s="3" t="s">
        <v>1369</v>
      </c>
      <c r="E304" s="3" t="s">
        <v>158</v>
      </c>
      <c r="F304" s="3" t="s">
        <v>569</v>
      </c>
      <c r="G304" s="3" t="s">
        <v>38</v>
      </c>
      <c r="H304" s="3">
        <v>6</v>
      </c>
      <c r="I304" s="3">
        <v>250</v>
      </c>
      <c r="J304" s="3">
        <v>1500</v>
      </c>
      <c r="K304" s="3" t="s">
        <v>53</v>
      </c>
      <c r="L304" s="3" t="str">
        <f>_xlfn.XLOOKUP(K304,Employees!$A$2:$A$51,Employees!$B$2:$B$51)</f>
        <v>Rahul Verma</v>
      </c>
      <c r="M304" s="3" t="str">
        <f>_xlfn.XLOOKUP(K304,Employees!$A$2:$A$51,Employees!$E$2:$E$51)</f>
        <v>Hydrabed</v>
      </c>
      <c r="N304" s="3" t="s">
        <v>41</v>
      </c>
      <c r="O304" s="3" t="s">
        <v>48</v>
      </c>
      <c r="P304" s="11"/>
    </row>
    <row r="305" spans="1:16" x14ac:dyDescent="0.25">
      <c r="A305" s="3" t="s">
        <v>1370</v>
      </c>
      <c r="B305" s="6">
        <v>45966</v>
      </c>
      <c r="C305" s="3" t="s">
        <v>1371</v>
      </c>
      <c r="D305" s="3" t="s">
        <v>1372</v>
      </c>
      <c r="E305" s="3" t="s">
        <v>159</v>
      </c>
      <c r="F305" s="3" t="s">
        <v>572</v>
      </c>
      <c r="G305" s="3" t="s">
        <v>39</v>
      </c>
      <c r="H305" s="3">
        <v>2</v>
      </c>
      <c r="I305" s="3">
        <v>9000</v>
      </c>
      <c r="J305" s="3">
        <v>18000</v>
      </c>
      <c r="K305" s="3" t="s">
        <v>54</v>
      </c>
      <c r="L305" s="3" t="str">
        <f>_xlfn.XLOOKUP(K305,Employees!$A$2:$A$51,Employees!$B$2:$B$51)</f>
        <v>Sneha Reddy</v>
      </c>
      <c r="M305" s="3" t="str">
        <f>_xlfn.XLOOKUP(K305,Employees!$A$2:$A$51,Employees!$E$2:$E$51)</f>
        <v>Chennai</v>
      </c>
      <c r="N305" s="3" t="s">
        <v>45</v>
      </c>
      <c r="O305" s="3" t="s">
        <v>48</v>
      </c>
      <c r="P305" s="11"/>
    </row>
    <row r="306" spans="1:16" x14ac:dyDescent="0.25">
      <c r="A306" s="3" t="s">
        <v>1373</v>
      </c>
      <c r="B306" s="6">
        <v>45967</v>
      </c>
      <c r="C306" s="3" t="s">
        <v>1374</v>
      </c>
      <c r="D306" s="3" t="s">
        <v>1375</v>
      </c>
      <c r="E306" s="3" t="s">
        <v>160</v>
      </c>
      <c r="F306" s="3" t="s">
        <v>575</v>
      </c>
      <c r="G306" s="3" t="s">
        <v>40</v>
      </c>
      <c r="H306" s="3">
        <v>4</v>
      </c>
      <c r="I306" s="3">
        <v>600</v>
      </c>
      <c r="J306" s="3">
        <v>2400</v>
      </c>
      <c r="K306" s="3" t="s">
        <v>55</v>
      </c>
      <c r="L306" s="3" t="str">
        <f>_xlfn.XLOOKUP(K306,Employees!$A$2:$A$51,Employees!$B$2:$B$51)</f>
        <v>Karthik Raj</v>
      </c>
      <c r="M306" s="3" t="str">
        <f>_xlfn.XLOOKUP(K306,Employees!$A$2:$A$51,Employees!$E$2:$E$51)</f>
        <v>Bangalore</v>
      </c>
      <c r="N306" s="3" t="s">
        <v>41</v>
      </c>
      <c r="O306" s="3" t="s">
        <v>48</v>
      </c>
      <c r="P306" s="11"/>
    </row>
    <row r="307" spans="1:16" x14ac:dyDescent="0.25">
      <c r="A307" s="3" t="s">
        <v>1376</v>
      </c>
      <c r="B307" s="6">
        <v>45968</v>
      </c>
      <c r="C307" s="3" t="s">
        <v>1377</v>
      </c>
      <c r="D307" s="3" t="s">
        <v>1378</v>
      </c>
      <c r="E307" s="3" t="s">
        <v>161</v>
      </c>
      <c r="F307" s="3" t="s">
        <v>578</v>
      </c>
      <c r="G307" s="3" t="s">
        <v>36</v>
      </c>
      <c r="H307" s="3">
        <v>3</v>
      </c>
      <c r="I307" s="3">
        <v>21000</v>
      </c>
      <c r="J307" s="3">
        <v>63000</v>
      </c>
      <c r="K307" s="3" t="s">
        <v>56</v>
      </c>
      <c r="L307" s="3" t="str">
        <f>_xlfn.XLOOKUP(K307,Employees!$A$2:$A$51,Employees!$B$2:$B$51)</f>
        <v xml:space="preserve">Divya Nair </v>
      </c>
      <c r="M307" s="3" t="str">
        <f>_xlfn.XLOOKUP(K307,Employees!$A$2:$A$51,Employees!$E$2:$E$51)</f>
        <v>Hydrabed</v>
      </c>
      <c r="N307" s="3" t="s">
        <v>41</v>
      </c>
      <c r="O307" s="3" t="s">
        <v>48</v>
      </c>
      <c r="P307" s="11"/>
    </row>
    <row r="308" spans="1:16" x14ac:dyDescent="0.25">
      <c r="A308" s="3" t="s">
        <v>1379</v>
      </c>
      <c r="B308" s="6">
        <v>45969</v>
      </c>
      <c r="C308" s="3" t="s">
        <v>1380</v>
      </c>
      <c r="D308" s="3" t="s">
        <v>1381</v>
      </c>
      <c r="E308" s="3" t="s">
        <v>162</v>
      </c>
      <c r="F308" s="3" t="s">
        <v>581</v>
      </c>
      <c r="G308" s="3" t="s">
        <v>37</v>
      </c>
      <c r="H308" s="3">
        <v>2</v>
      </c>
      <c r="I308" s="3">
        <v>2500</v>
      </c>
      <c r="J308" s="3">
        <v>5000</v>
      </c>
      <c r="K308" s="3" t="s">
        <v>57</v>
      </c>
      <c r="L308" s="3" t="str">
        <f>_xlfn.XLOOKUP(K308,Employees!$A$2:$A$51,Employees!$B$2:$B$51)</f>
        <v>Ajay Singh</v>
      </c>
      <c r="M308" s="3" t="str">
        <f>_xlfn.XLOOKUP(K308,Employees!$A$2:$A$51,Employees!$E$2:$E$51)</f>
        <v>Chennai</v>
      </c>
      <c r="N308" s="3" t="s">
        <v>45</v>
      </c>
      <c r="O308" s="3" t="s">
        <v>46</v>
      </c>
      <c r="P308" s="11"/>
    </row>
    <row r="309" spans="1:16" x14ac:dyDescent="0.25">
      <c r="A309" s="3" t="s">
        <v>1382</v>
      </c>
      <c r="B309" s="6">
        <v>45970</v>
      </c>
      <c r="C309" s="3" t="s">
        <v>1383</v>
      </c>
      <c r="D309" s="3" t="s">
        <v>1384</v>
      </c>
      <c r="E309" s="3" t="s">
        <v>163</v>
      </c>
      <c r="F309" s="3" t="s">
        <v>584</v>
      </c>
      <c r="G309" s="3" t="s">
        <v>38</v>
      </c>
      <c r="H309" s="3">
        <v>8</v>
      </c>
      <c r="I309" s="3">
        <v>700</v>
      </c>
      <c r="J309" s="3">
        <v>5600</v>
      </c>
      <c r="K309" s="3" t="s">
        <v>58</v>
      </c>
      <c r="L309" s="3" t="str">
        <f>_xlfn.XLOOKUP(K309,Employees!$A$2:$A$51,Employees!$B$2:$B$51)</f>
        <v>Meera Joshi</v>
      </c>
      <c r="M309" s="3" t="str">
        <f>_xlfn.XLOOKUP(K309,Employees!$A$2:$A$51,Employees!$E$2:$E$51)</f>
        <v>Mumbai</v>
      </c>
      <c r="N309" s="3" t="s">
        <v>43</v>
      </c>
      <c r="O309" s="3" t="s">
        <v>47</v>
      </c>
      <c r="P309" s="11"/>
    </row>
    <row r="310" spans="1:16" x14ac:dyDescent="0.25">
      <c r="A310" s="3" t="s">
        <v>1385</v>
      </c>
      <c r="B310" s="6">
        <v>45971</v>
      </c>
      <c r="C310" s="3" t="s">
        <v>1386</v>
      </c>
      <c r="D310" s="3" t="s">
        <v>1387</v>
      </c>
      <c r="E310" s="3" t="s">
        <v>164</v>
      </c>
      <c r="F310" s="3" t="s">
        <v>587</v>
      </c>
      <c r="G310" s="3" t="s">
        <v>39</v>
      </c>
      <c r="H310" s="3">
        <v>1</v>
      </c>
      <c r="I310" s="3">
        <v>18000</v>
      </c>
      <c r="J310" s="3">
        <v>18000</v>
      </c>
      <c r="K310" s="3" t="s">
        <v>59</v>
      </c>
      <c r="L310" s="3" t="str">
        <f>_xlfn.XLOOKUP(K310,Employees!$A$2:$A$51,Employees!$B$2:$B$51)</f>
        <v>Sanjay Kumar</v>
      </c>
      <c r="M310" s="3" t="str">
        <f>_xlfn.XLOOKUP(K310,Employees!$A$2:$A$51,Employees!$E$2:$E$51)</f>
        <v>Delhi</v>
      </c>
      <c r="N310" s="3" t="s">
        <v>44</v>
      </c>
      <c r="O310" s="3" t="s">
        <v>46</v>
      </c>
      <c r="P310" s="11"/>
    </row>
    <row r="311" spans="1:16" x14ac:dyDescent="0.25">
      <c r="A311" s="3" t="s">
        <v>1388</v>
      </c>
      <c r="B311" s="6">
        <v>45972</v>
      </c>
      <c r="C311" s="3" t="s">
        <v>1389</v>
      </c>
      <c r="D311" s="3" t="s">
        <v>1390</v>
      </c>
      <c r="E311" s="3" t="s">
        <v>165</v>
      </c>
      <c r="F311" s="3" t="s">
        <v>590</v>
      </c>
      <c r="G311" s="3" t="s">
        <v>40</v>
      </c>
      <c r="H311" s="3">
        <v>5</v>
      </c>
      <c r="I311" s="3">
        <v>900</v>
      </c>
      <c r="J311" s="3">
        <v>4500</v>
      </c>
      <c r="K311" s="3" t="s">
        <v>60</v>
      </c>
      <c r="L311" s="3" t="str">
        <f>_xlfn.XLOOKUP(K311,Employees!$A$2:$A$51,Employees!$B$2:$B$51)</f>
        <v>Pooja Patel</v>
      </c>
      <c r="M311" s="3" t="str">
        <f>_xlfn.XLOOKUP(K311,Employees!$A$2:$A$51,Employees!$E$2:$E$51)</f>
        <v>Bangalore</v>
      </c>
      <c r="N311" s="3" t="s">
        <v>42</v>
      </c>
      <c r="O311" s="3" t="s">
        <v>47</v>
      </c>
      <c r="P311" s="11"/>
    </row>
    <row r="312" spans="1:16" x14ac:dyDescent="0.25">
      <c r="A312" s="3" t="s">
        <v>1391</v>
      </c>
      <c r="B312" s="6">
        <v>45973</v>
      </c>
      <c r="C312" s="3" t="s">
        <v>1392</v>
      </c>
      <c r="D312" s="3" t="s">
        <v>1393</v>
      </c>
      <c r="E312" s="3" t="s">
        <v>166</v>
      </c>
      <c r="F312" s="3" t="s">
        <v>593</v>
      </c>
      <c r="G312" s="3" t="s">
        <v>36</v>
      </c>
      <c r="H312" s="3">
        <v>3</v>
      </c>
      <c r="I312" s="3">
        <v>15000</v>
      </c>
      <c r="J312" s="3">
        <v>45000</v>
      </c>
      <c r="K312" s="3" t="s">
        <v>91</v>
      </c>
      <c r="L312" s="3" t="str">
        <f>_xlfn.XLOOKUP(K312,Employees!$A$2:$A$51,Employees!$B$2:$B$51)</f>
        <v>Nithya Krishnan</v>
      </c>
      <c r="M312" s="3" t="str">
        <f>_xlfn.XLOOKUP(K312,Employees!$A$2:$A$51,Employees!$E$2:$E$51)</f>
        <v>Chennai</v>
      </c>
      <c r="N312" s="3" t="s">
        <v>41</v>
      </c>
      <c r="O312" s="3" t="s">
        <v>47</v>
      </c>
      <c r="P312" s="11"/>
    </row>
    <row r="313" spans="1:16" x14ac:dyDescent="0.25">
      <c r="A313" s="3" t="s">
        <v>1394</v>
      </c>
      <c r="B313" s="6">
        <v>45974</v>
      </c>
      <c r="C313" s="3" t="s">
        <v>1395</v>
      </c>
      <c r="D313" s="3" t="s">
        <v>1396</v>
      </c>
      <c r="E313" s="3" t="s">
        <v>167</v>
      </c>
      <c r="F313" s="3" t="s">
        <v>596</v>
      </c>
      <c r="G313" s="3" t="s">
        <v>37</v>
      </c>
      <c r="H313" s="3">
        <v>2</v>
      </c>
      <c r="I313" s="3">
        <v>3000</v>
      </c>
      <c r="J313" s="3">
        <v>6000</v>
      </c>
      <c r="K313" s="3" t="s">
        <v>92</v>
      </c>
      <c r="L313" s="3" t="str">
        <f>_xlfn.XLOOKUP(K313,Employees!$A$2:$A$51,Employees!$B$2:$B$51)</f>
        <v>Rohit Mehta</v>
      </c>
      <c r="M313" s="3" t="str">
        <f>_xlfn.XLOOKUP(K313,Employees!$A$2:$A$51,Employees!$E$2:$E$51)</f>
        <v>Hydrabed</v>
      </c>
      <c r="N313" s="3" t="s">
        <v>45</v>
      </c>
      <c r="O313" s="3" t="s">
        <v>49</v>
      </c>
      <c r="P313" s="11"/>
    </row>
    <row r="314" spans="1:16" x14ac:dyDescent="0.25">
      <c r="A314" s="3" t="s">
        <v>1397</v>
      </c>
      <c r="B314" s="6">
        <v>45975</v>
      </c>
      <c r="C314" s="3" t="s">
        <v>1398</v>
      </c>
      <c r="D314" s="3" t="s">
        <v>1399</v>
      </c>
      <c r="E314" s="3" t="s">
        <v>168</v>
      </c>
      <c r="F314" s="3" t="s">
        <v>599</v>
      </c>
      <c r="G314" s="3" t="s">
        <v>38</v>
      </c>
      <c r="H314" s="3">
        <v>7</v>
      </c>
      <c r="I314" s="3">
        <v>400</v>
      </c>
      <c r="J314" s="3">
        <v>2800</v>
      </c>
      <c r="K314" s="3" t="s">
        <v>93</v>
      </c>
      <c r="L314" s="3" t="str">
        <f>_xlfn.XLOOKUP(K314,Employees!$A$2:$A$51,Employees!$B$2:$B$51)</f>
        <v>Aisha Khan</v>
      </c>
      <c r="M314" s="3" t="str">
        <f>_xlfn.XLOOKUP(K314,Employees!$A$2:$A$51,Employees!$E$2:$E$51)</f>
        <v>Delhi</v>
      </c>
      <c r="N314" s="3" t="s">
        <v>44</v>
      </c>
      <c r="O314" s="3" t="s">
        <v>48</v>
      </c>
      <c r="P314" s="11"/>
    </row>
    <row r="315" spans="1:16" x14ac:dyDescent="0.25">
      <c r="A315" s="3" t="s">
        <v>1400</v>
      </c>
      <c r="B315" s="6">
        <v>45976</v>
      </c>
      <c r="C315" s="3" t="s">
        <v>1401</v>
      </c>
      <c r="D315" s="3" t="s">
        <v>1402</v>
      </c>
      <c r="E315" s="3" t="s">
        <v>169</v>
      </c>
      <c r="F315" s="3" t="s">
        <v>602</v>
      </c>
      <c r="G315" s="3" t="s">
        <v>39</v>
      </c>
      <c r="H315" s="3">
        <v>1</v>
      </c>
      <c r="I315" s="3">
        <v>11000</v>
      </c>
      <c r="J315" s="3">
        <v>11000</v>
      </c>
      <c r="K315" s="3" t="s">
        <v>94</v>
      </c>
      <c r="L315" s="3" t="str">
        <f>_xlfn.XLOOKUP(K315,Employees!$A$2:$A$51,Employees!$B$2:$B$51)</f>
        <v>Vikram Iyer</v>
      </c>
      <c r="M315" s="3" t="str">
        <f>_xlfn.XLOOKUP(K315,Employees!$A$2:$A$51,Employees!$E$2:$E$51)</f>
        <v>Bangalore</v>
      </c>
      <c r="N315" s="3" t="s">
        <v>42</v>
      </c>
      <c r="O315" s="3" t="s">
        <v>49</v>
      </c>
      <c r="P315" s="11"/>
    </row>
    <row r="316" spans="1:16" x14ac:dyDescent="0.25">
      <c r="A316" s="3" t="s">
        <v>1403</v>
      </c>
      <c r="B316" s="6">
        <v>45977</v>
      </c>
      <c r="C316" s="3" t="s">
        <v>1404</v>
      </c>
      <c r="D316" s="3" t="s">
        <v>1405</v>
      </c>
      <c r="E316" s="3" t="s">
        <v>170</v>
      </c>
      <c r="F316" s="3" t="s">
        <v>605</v>
      </c>
      <c r="G316" s="3" t="s">
        <v>40</v>
      </c>
      <c r="H316" s="3">
        <v>4</v>
      </c>
      <c r="I316" s="3">
        <v>750</v>
      </c>
      <c r="J316" s="3">
        <v>3000</v>
      </c>
      <c r="K316" s="3" t="s">
        <v>101</v>
      </c>
      <c r="L316" s="3" t="str">
        <f>_xlfn.XLOOKUP(K316,Employees!$A$2:$A$51,Employees!$B$2:$B$51)</f>
        <v>Neha Gupta</v>
      </c>
      <c r="M316" s="3" t="str">
        <f>_xlfn.XLOOKUP(K316,Employees!$A$2:$A$51,Employees!$E$2:$E$51)</f>
        <v>Mumbai</v>
      </c>
      <c r="N316" s="3" t="s">
        <v>45</v>
      </c>
      <c r="O316" s="3" t="s">
        <v>49</v>
      </c>
      <c r="P316" s="11"/>
    </row>
    <row r="317" spans="1:16" x14ac:dyDescent="0.25">
      <c r="A317" s="3" t="s">
        <v>1406</v>
      </c>
      <c r="B317" s="6">
        <v>45978</v>
      </c>
      <c r="C317" s="3" t="s">
        <v>1407</v>
      </c>
      <c r="D317" s="3" t="s">
        <v>1408</v>
      </c>
      <c r="E317" s="3" t="s">
        <v>171</v>
      </c>
      <c r="F317" s="3" t="s">
        <v>608</v>
      </c>
      <c r="G317" s="3" t="s">
        <v>36</v>
      </c>
      <c r="H317" s="3">
        <v>2</v>
      </c>
      <c r="I317" s="3">
        <v>28000</v>
      </c>
      <c r="J317" s="3">
        <v>56000</v>
      </c>
      <c r="K317" s="3" t="s">
        <v>105</v>
      </c>
      <c r="L317" s="3" t="str">
        <f>_xlfn.XLOOKUP(K317,Employees!$A$2:$A$51,Employees!$B$2:$B$51)</f>
        <v>Harish Ramanan</v>
      </c>
      <c r="M317" s="3" t="str">
        <f>_xlfn.XLOOKUP(K317,Employees!$A$2:$A$51,Employees!$E$2:$E$51)</f>
        <v>Chennai</v>
      </c>
      <c r="N317" s="3" t="s">
        <v>41</v>
      </c>
      <c r="O317" s="3" t="s">
        <v>49</v>
      </c>
      <c r="P317" s="11"/>
    </row>
    <row r="318" spans="1:16" x14ac:dyDescent="0.25">
      <c r="A318" s="3" t="s">
        <v>1409</v>
      </c>
      <c r="B318" s="6">
        <v>45979</v>
      </c>
      <c r="C318" s="3" t="s">
        <v>1410</v>
      </c>
      <c r="D318" s="3" t="s">
        <v>1411</v>
      </c>
      <c r="E318" s="3" t="s">
        <v>172</v>
      </c>
      <c r="F318" s="3" t="s">
        <v>611</v>
      </c>
      <c r="G318" s="3" t="s">
        <v>37</v>
      </c>
      <c r="H318" s="3">
        <v>5</v>
      </c>
      <c r="I318" s="3">
        <v>1200</v>
      </c>
      <c r="J318" s="3">
        <v>6000</v>
      </c>
      <c r="K318" s="3" t="s">
        <v>106</v>
      </c>
      <c r="L318" s="3" t="str">
        <f>_xlfn.XLOOKUP(K318,Employees!$A$2:$A$51,Employees!$B$2:$B$51)</f>
        <v>Lakshmi Devi</v>
      </c>
      <c r="M318" s="3" t="str">
        <f>_xlfn.XLOOKUP(K318,Employees!$A$2:$A$51,Employees!$E$2:$E$51)</f>
        <v>Bangalore</v>
      </c>
      <c r="N318" s="3" t="s">
        <v>45</v>
      </c>
      <c r="O318" s="3" t="s">
        <v>47</v>
      </c>
      <c r="P318" s="11"/>
    </row>
    <row r="319" spans="1:16" x14ac:dyDescent="0.25">
      <c r="A319" s="3" t="s">
        <v>1412</v>
      </c>
      <c r="B319" s="6">
        <v>45980</v>
      </c>
      <c r="C319" s="3" t="s">
        <v>1413</v>
      </c>
      <c r="D319" s="3" t="s">
        <v>1414</v>
      </c>
      <c r="E319" s="3" t="s">
        <v>173</v>
      </c>
      <c r="F319" s="3" t="s">
        <v>614</v>
      </c>
      <c r="G319" s="3" t="s">
        <v>38</v>
      </c>
      <c r="H319" s="3">
        <v>3</v>
      </c>
      <c r="I319" s="3">
        <v>900</v>
      </c>
      <c r="J319" s="3">
        <v>2700</v>
      </c>
      <c r="K319" s="3" t="s">
        <v>107</v>
      </c>
      <c r="L319" s="3" t="str">
        <f>_xlfn.XLOOKUP(K319,Employees!$A$2:$A$51,Employees!$B$2:$B$51)</f>
        <v>Mohammed Ali</v>
      </c>
      <c r="M319" s="3" t="str">
        <f>_xlfn.XLOOKUP(K319,Employees!$A$2:$A$51,Employees!$E$2:$E$51)</f>
        <v>Hydrabed</v>
      </c>
      <c r="N319" s="3" t="s">
        <v>44</v>
      </c>
      <c r="O319" s="3" t="s">
        <v>47</v>
      </c>
      <c r="P319" s="11"/>
    </row>
    <row r="320" spans="1:16" x14ac:dyDescent="0.25">
      <c r="A320" s="3" t="s">
        <v>1415</v>
      </c>
      <c r="B320" s="6">
        <v>45981</v>
      </c>
      <c r="C320" s="3" t="s">
        <v>1416</v>
      </c>
      <c r="D320" s="3" t="s">
        <v>1417</v>
      </c>
      <c r="E320" s="3" t="s">
        <v>174</v>
      </c>
      <c r="F320" s="3" t="s">
        <v>617</v>
      </c>
      <c r="G320" s="3" t="s">
        <v>39</v>
      </c>
      <c r="H320" s="3">
        <v>2</v>
      </c>
      <c r="I320" s="3">
        <v>13000</v>
      </c>
      <c r="J320" s="3">
        <v>26000</v>
      </c>
      <c r="K320" s="3" t="s">
        <v>108</v>
      </c>
      <c r="L320" s="3" t="str">
        <f>_xlfn.XLOOKUP(K320,Employees!$A$2:$A$51,Employees!$B$2:$B$51)</f>
        <v>Kavya Srinivas</v>
      </c>
      <c r="M320" s="3" t="str">
        <f>_xlfn.XLOOKUP(K320,Employees!$A$2:$A$51,Employees!$E$2:$E$51)</f>
        <v>Delhi</v>
      </c>
      <c r="N320" s="3" t="s">
        <v>42</v>
      </c>
      <c r="O320" s="3" t="s">
        <v>48</v>
      </c>
      <c r="P320" s="11"/>
    </row>
    <row r="321" spans="1:16" x14ac:dyDescent="0.25">
      <c r="A321" s="3" t="s">
        <v>1418</v>
      </c>
      <c r="B321" s="6">
        <v>45982</v>
      </c>
      <c r="C321" s="3" t="s">
        <v>1419</v>
      </c>
      <c r="D321" s="3" t="s">
        <v>1420</v>
      </c>
      <c r="E321" s="3" t="s">
        <v>175</v>
      </c>
      <c r="F321" s="3" t="s">
        <v>620</v>
      </c>
      <c r="G321" s="3" t="s">
        <v>40</v>
      </c>
      <c r="H321" s="3">
        <v>6</v>
      </c>
      <c r="I321" s="3">
        <v>500</v>
      </c>
      <c r="J321" s="3">
        <v>3000</v>
      </c>
      <c r="K321" s="3" t="s">
        <v>109</v>
      </c>
      <c r="L321" s="3" t="str">
        <f>_xlfn.XLOOKUP(K321,Employees!$A$2:$A$51,Employees!$B$2:$B$51)</f>
        <v>Rakesh Sharma</v>
      </c>
      <c r="M321" s="3" t="str">
        <f>_xlfn.XLOOKUP(K321,Employees!$A$2:$A$51,Employees!$E$2:$E$51)</f>
        <v>Mumbai</v>
      </c>
      <c r="N321" s="3" t="s">
        <v>42</v>
      </c>
      <c r="O321" s="3" t="s">
        <v>47</v>
      </c>
      <c r="P321" s="11"/>
    </row>
    <row r="322" spans="1:16" x14ac:dyDescent="0.25">
      <c r="A322" s="3" t="s">
        <v>1421</v>
      </c>
      <c r="B322" s="6">
        <v>45983</v>
      </c>
      <c r="C322" s="3" t="s">
        <v>1422</v>
      </c>
      <c r="D322" s="3" t="s">
        <v>1423</v>
      </c>
      <c r="E322" s="3" t="s">
        <v>119</v>
      </c>
      <c r="F322" s="3" t="s">
        <v>533</v>
      </c>
      <c r="G322" s="3" t="s">
        <v>36</v>
      </c>
      <c r="H322" s="3">
        <v>1</v>
      </c>
      <c r="I322" s="3">
        <v>25000</v>
      </c>
      <c r="J322" s="3">
        <v>25000</v>
      </c>
      <c r="K322" s="3" t="s">
        <v>51</v>
      </c>
      <c r="L322" s="3" t="str">
        <f>_xlfn.XLOOKUP(K322,Employees!$A$2:$A$51,Employees!$B$2:$B$51)</f>
        <v>Arjun Kumar</v>
      </c>
      <c r="M322" s="3" t="str">
        <f>_xlfn.XLOOKUP(K322,Employees!$A$2:$A$51,Employees!$E$2:$E$51)</f>
        <v>Chennai</v>
      </c>
      <c r="N322" s="3" t="s">
        <v>41</v>
      </c>
      <c r="O322" s="3" t="s">
        <v>47</v>
      </c>
      <c r="P322" s="11"/>
    </row>
    <row r="323" spans="1:16" x14ac:dyDescent="0.25">
      <c r="A323" s="3" t="s">
        <v>1424</v>
      </c>
      <c r="B323" s="6">
        <v>45984</v>
      </c>
      <c r="C323" s="3" t="s">
        <v>1425</v>
      </c>
      <c r="D323" s="3" t="s">
        <v>1426</v>
      </c>
      <c r="E323" s="3" t="s">
        <v>120</v>
      </c>
      <c r="F323" s="3" t="s">
        <v>536</v>
      </c>
      <c r="G323" s="3" t="s">
        <v>37</v>
      </c>
      <c r="H323" s="3">
        <v>2</v>
      </c>
      <c r="I323" s="3">
        <v>1500</v>
      </c>
      <c r="J323" s="3">
        <v>3000</v>
      </c>
      <c r="K323" s="3" t="s">
        <v>52</v>
      </c>
      <c r="L323" s="3" t="str">
        <f>_xlfn.XLOOKUP(K323,Employees!$A$2:$A$51,Employees!$B$2:$B$51)</f>
        <v>Priya Sharma</v>
      </c>
      <c r="M323" s="3" t="str">
        <f>_xlfn.XLOOKUP(K323,Employees!$A$2:$A$51,Employees!$E$2:$E$51)</f>
        <v>Bangalore</v>
      </c>
      <c r="N323" s="3" t="s">
        <v>42</v>
      </c>
      <c r="O323" s="3" t="s">
        <v>46</v>
      </c>
      <c r="P323" s="11"/>
    </row>
    <row r="324" spans="1:16" x14ac:dyDescent="0.25">
      <c r="A324" s="3" t="s">
        <v>1427</v>
      </c>
      <c r="B324" s="6">
        <v>45985</v>
      </c>
      <c r="C324" s="3" t="s">
        <v>1428</v>
      </c>
      <c r="D324" s="3" t="s">
        <v>1429</v>
      </c>
      <c r="E324" s="3" t="s">
        <v>121</v>
      </c>
      <c r="F324" s="3" t="s">
        <v>539</v>
      </c>
      <c r="G324" s="3" t="s">
        <v>38</v>
      </c>
      <c r="H324" s="3">
        <v>10</v>
      </c>
      <c r="I324" s="3">
        <v>500</v>
      </c>
      <c r="J324" s="3">
        <v>5000</v>
      </c>
      <c r="K324" s="3" t="s">
        <v>53</v>
      </c>
      <c r="L324" s="3" t="str">
        <f>_xlfn.XLOOKUP(K324,Employees!$A$2:$A$51,Employees!$B$2:$B$51)</f>
        <v>Rahul Verma</v>
      </c>
      <c r="M324" s="3" t="str">
        <f>_xlfn.XLOOKUP(K324,Employees!$A$2:$A$51,Employees!$E$2:$E$51)</f>
        <v>Hydrabed</v>
      </c>
      <c r="N324" s="3" t="s">
        <v>42</v>
      </c>
      <c r="O324" s="3" t="s">
        <v>47</v>
      </c>
      <c r="P324" s="11"/>
    </row>
    <row r="325" spans="1:16" x14ac:dyDescent="0.25">
      <c r="A325" s="3" t="s">
        <v>1430</v>
      </c>
      <c r="B325" s="6">
        <v>45986</v>
      </c>
      <c r="C325" s="3" t="s">
        <v>1431</v>
      </c>
      <c r="D325" s="3" t="s">
        <v>1432</v>
      </c>
      <c r="E325" s="3" t="s">
        <v>122</v>
      </c>
      <c r="F325" s="3" t="s">
        <v>542</v>
      </c>
      <c r="G325" s="3" t="s">
        <v>39</v>
      </c>
      <c r="H325" s="3">
        <v>1</v>
      </c>
      <c r="I325" s="3">
        <v>12000</v>
      </c>
      <c r="J325" s="3">
        <v>12000</v>
      </c>
      <c r="K325" s="3" t="s">
        <v>54</v>
      </c>
      <c r="L325" s="3" t="str">
        <f>_xlfn.XLOOKUP(K325,Employees!$A$2:$A$51,Employees!$B$2:$B$51)</f>
        <v>Sneha Reddy</v>
      </c>
      <c r="M325" s="3" t="str">
        <f>_xlfn.XLOOKUP(K325,Employees!$A$2:$A$51,Employees!$E$2:$E$51)</f>
        <v>Chennai</v>
      </c>
      <c r="N325" s="3" t="s">
        <v>44</v>
      </c>
      <c r="O325" s="3" t="s">
        <v>47</v>
      </c>
      <c r="P325" s="11"/>
    </row>
    <row r="326" spans="1:16" x14ac:dyDescent="0.25">
      <c r="A326" s="3" t="s">
        <v>1433</v>
      </c>
      <c r="B326" s="6">
        <v>45987</v>
      </c>
      <c r="C326" s="3" t="s">
        <v>1434</v>
      </c>
      <c r="D326" s="3" t="s">
        <v>1435</v>
      </c>
      <c r="E326" s="3" t="s">
        <v>123</v>
      </c>
      <c r="F326" s="3" t="s">
        <v>545</v>
      </c>
      <c r="G326" s="3" t="s">
        <v>40</v>
      </c>
      <c r="H326" s="3">
        <v>3</v>
      </c>
      <c r="I326" s="3">
        <v>800</v>
      </c>
      <c r="J326" s="3">
        <v>2400</v>
      </c>
      <c r="K326" s="3" t="s">
        <v>55</v>
      </c>
      <c r="L326" s="3" t="str">
        <f>_xlfn.XLOOKUP(K326,Employees!$A$2:$A$51,Employees!$B$2:$B$51)</f>
        <v>Karthik Raj</v>
      </c>
      <c r="M326" s="3" t="str">
        <f>_xlfn.XLOOKUP(K326,Employees!$A$2:$A$51,Employees!$E$2:$E$51)</f>
        <v>Bangalore</v>
      </c>
      <c r="N326" s="3" t="s">
        <v>44</v>
      </c>
      <c r="O326" s="3" t="s">
        <v>46</v>
      </c>
      <c r="P326" s="11"/>
    </row>
    <row r="327" spans="1:16" x14ac:dyDescent="0.25">
      <c r="A327" s="3" t="s">
        <v>1436</v>
      </c>
      <c r="B327" s="6">
        <v>45988</v>
      </c>
      <c r="C327" s="3" t="s">
        <v>1437</v>
      </c>
      <c r="D327" s="3" t="s">
        <v>1438</v>
      </c>
      <c r="E327" s="3" t="s">
        <v>124</v>
      </c>
      <c r="F327" s="3" t="s">
        <v>548</v>
      </c>
      <c r="G327" s="3" t="s">
        <v>36</v>
      </c>
      <c r="H327" s="3">
        <v>2</v>
      </c>
      <c r="I327" s="3">
        <v>18000</v>
      </c>
      <c r="J327" s="3">
        <v>36000</v>
      </c>
      <c r="K327" s="3" t="s">
        <v>56</v>
      </c>
      <c r="L327" s="3" t="str">
        <f>_xlfn.XLOOKUP(K327,Employees!$A$2:$A$51,Employees!$B$2:$B$51)</f>
        <v xml:space="preserve">Divya Nair </v>
      </c>
      <c r="M327" s="3" t="str">
        <f>_xlfn.XLOOKUP(K327,Employees!$A$2:$A$51,Employees!$E$2:$E$51)</f>
        <v>Hydrabed</v>
      </c>
      <c r="N327" s="3" t="s">
        <v>44</v>
      </c>
      <c r="O327" s="3" t="s">
        <v>46</v>
      </c>
      <c r="P327" s="11"/>
    </row>
    <row r="328" spans="1:16" x14ac:dyDescent="0.25">
      <c r="A328" s="3" t="s">
        <v>1439</v>
      </c>
      <c r="B328" s="6">
        <v>45989</v>
      </c>
      <c r="C328" s="3" t="s">
        <v>1440</v>
      </c>
      <c r="D328" s="3" t="s">
        <v>1441</v>
      </c>
      <c r="E328" s="3" t="s">
        <v>125</v>
      </c>
      <c r="F328" s="3" t="s">
        <v>551</v>
      </c>
      <c r="G328" s="3" t="s">
        <v>37</v>
      </c>
      <c r="H328" s="3">
        <v>4</v>
      </c>
      <c r="I328" s="3">
        <v>2200</v>
      </c>
      <c r="J328" s="3">
        <v>8800</v>
      </c>
      <c r="K328" s="3" t="s">
        <v>57</v>
      </c>
      <c r="L328" s="3" t="str">
        <f>_xlfn.XLOOKUP(K328,Employees!$A$2:$A$51,Employees!$B$2:$B$51)</f>
        <v>Ajay Singh</v>
      </c>
      <c r="M328" s="3" t="str">
        <f>_xlfn.XLOOKUP(K328,Employees!$A$2:$A$51,Employees!$E$2:$E$51)</f>
        <v>Chennai</v>
      </c>
      <c r="N328" s="3" t="s">
        <v>44</v>
      </c>
      <c r="O328" s="3" t="s">
        <v>49</v>
      </c>
      <c r="P328" s="11"/>
    </row>
    <row r="329" spans="1:16" x14ac:dyDescent="0.25">
      <c r="A329" s="3" t="s">
        <v>1442</v>
      </c>
      <c r="B329" s="6">
        <v>45990</v>
      </c>
      <c r="C329" s="3" t="s">
        <v>1443</v>
      </c>
      <c r="D329" s="3" t="s">
        <v>1444</v>
      </c>
      <c r="E329" s="3" t="s">
        <v>126</v>
      </c>
      <c r="F329" s="3" t="s">
        <v>554</v>
      </c>
      <c r="G329" s="3" t="s">
        <v>38</v>
      </c>
      <c r="H329" s="3">
        <v>5</v>
      </c>
      <c r="I329" s="3">
        <v>300</v>
      </c>
      <c r="J329" s="3">
        <v>1500</v>
      </c>
      <c r="K329" s="3" t="s">
        <v>58</v>
      </c>
      <c r="L329" s="3" t="str">
        <f>_xlfn.XLOOKUP(K329,Employees!$A$2:$A$51,Employees!$B$2:$B$51)</f>
        <v>Meera Joshi</v>
      </c>
      <c r="M329" s="3" t="str">
        <f>_xlfn.XLOOKUP(K329,Employees!$A$2:$A$51,Employees!$E$2:$E$51)</f>
        <v>Mumbai</v>
      </c>
      <c r="N329" s="3" t="s">
        <v>41</v>
      </c>
      <c r="O329" s="3" t="s">
        <v>48</v>
      </c>
      <c r="P329" s="11"/>
    </row>
    <row r="330" spans="1:16" x14ac:dyDescent="0.25">
      <c r="A330" s="3" t="s">
        <v>1445</v>
      </c>
      <c r="B330" s="6">
        <v>45991</v>
      </c>
      <c r="C330" s="3" t="s">
        <v>1446</v>
      </c>
      <c r="D330" s="3" t="s">
        <v>1447</v>
      </c>
      <c r="E330" s="3" t="s">
        <v>127</v>
      </c>
      <c r="F330" s="3" t="s">
        <v>557</v>
      </c>
      <c r="G330" s="3" t="s">
        <v>39</v>
      </c>
      <c r="H330" s="3">
        <v>2</v>
      </c>
      <c r="I330" s="3">
        <v>15000</v>
      </c>
      <c r="J330" s="3">
        <v>30000</v>
      </c>
      <c r="K330" s="3" t="s">
        <v>59</v>
      </c>
      <c r="L330" s="3" t="str">
        <f>_xlfn.XLOOKUP(K330,Employees!$A$2:$A$51,Employees!$B$2:$B$51)</f>
        <v>Sanjay Kumar</v>
      </c>
      <c r="M330" s="3" t="str">
        <f>_xlfn.XLOOKUP(K330,Employees!$A$2:$A$51,Employees!$E$2:$E$51)</f>
        <v>Delhi</v>
      </c>
      <c r="N330" s="3" t="s">
        <v>44</v>
      </c>
      <c r="O330" s="3" t="s">
        <v>49</v>
      </c>
      <c r="P330" s="11"/>
    </row>
    <row r="331" spans="1:16" x14ac:dyDescent="0.25">
      <c r="A331" s="3" t="s">
        <v>1448</v>
      </c>
      <c r="B331" s="6">
        <v>45992</v>
      </c>
      <c r="C331" s="3" t="s">
        <v>1449</v>
      </c>
      <c r="D331" s="3" t="s">
        <v>1450</v>
      </c>
      <c r="E331" s="3" t="s">
        <v>128</v>
      </c>
      <c r="F331" s="3" t="s">
        <v>560</v>
      </c>
      <c r="G331" s="3" t="s">
        <v>40</v>
      </c>
      <c r="H331" s="3">
        <v>3</v>
      </c>
      <c r="I331" s="3">
        <v>1200</v>
      </c>
      <c r="J331" s="3">
        <v>3600</v>
      </c>
      <c r="K331" s="3" t="s">
        <v>60</v>
      </c>
      <c r="L331" s="3" t="str">
        <f>_xlfn.XLOOKUP(K331,Employees!$A$2:$A$51,Employees!$B$2:$B$51)</f>
        <v>Pooja Patel</v>
      </c>
      <c r="M331" s="3" t="str">
        <f>_xlfn.XLOOKUP(K331,Employees!$A$2:$A$51,Employees!$E$2:$E$51)</f>
        <v>Bangalore</v>
      </c>
      <c r="N331" s="3" t="s">
        <v>45</v>
      </c>
      <c r="O331" s="3" t="s">
        <v>48</v>
      </c>
      <c r="P331" s="11"/>
    </row>
    <row r="332" spans="1:16" x14ac:dyDescent="0.25">
      <c r="A332" s="3" t="s">
        <v>1451</v>
      </c>
      <c r="B332" s="6">
        <v>45993</v>
      </c>
      <c r="C332" s="3" t="s">
        <v>1452</v>
      </c>
      <c r="D332" s="3" t="s">
        <v>1453</v>
      </c>
      <c r="E332" s="3" t="s">
        <v>156</v>
      </c>
      <c r="F332" s="3" t="s">
        <v>563</v>
      </c>
      <c r="G332" s="3" t="s">
        <v>36</v>
      </c>
      <c r="H332" s="3">
        <v>2</v>
      </c>
      <c r="I332" s="3">
        <v>32000</v>
      </c>
      <c r="J332" s="3">
        <v>64000</v>
      </c>
      <c r="K332" s="3" t="s">
        <v>91</v>
      </c>
      <c r="L332" s="3" t="str">
        <f>_xlfn.XLOOKUP(K332,Employees!$A$2:$A$51,Employees!$B$2:$B$51)</f>
        <v>Nithya Krishnan</v>
      </c>
      <c r="M332" s="3" t="str">
        <f>_xlfn.XLOOKUP(K332,Employees!$A$2:$A$51,Employees!$E$2:$E$51)</f>
        <v>Chennai</v>
      </c>
      <c r="N332" s="3" t="s">
        <v>43</v>
      </c>
      <c r="O332" s="3" t="s">
        <v>46</v>
      </c>
      <c r="P332" s="11"/>
    </row>
    <row r="333" spans="1:16" x14ac:dyDescent="0.25">
      <c r="A333" s="3" t="s">
        <v>1454</v>
      </c>
      <c r="B333" s="6">
        <v>45994</v>
      </c>
      <c r="C333" s="3" t="s">
        <v>1455</v>
      </c>
      <c r="D333" s="3" t="s">
        <v>1456</v>
      </c>
      <c r="E333" s="3" t="s">
        <v>157</v>
      </c>
      <c r="F333" s="3" t="s">
        <v>566</v>
      </c>
      <c r="G333" s="3" t="s">
        <v>37</v>
      </c>
      <c r="H333" s="3">
        <v>1</v>
      </c>
      <c r="I333" s="3">
        <v>1800</v>
      </c>
      <c r="J333" s="3">
        <v>1800</v>
      </c>
      <c r="K333" s="3" t="s">
        <v>92</v>
      </c>
      <c r="L333" s="3" t="str">
        <f>_xlfn.XLOOKUP(K333,Employees!$A$2:$A$51,Employees!$B$2:$B$51)</f>
        <v>Rohit Mehta</v>
      </c>
      <c r="M333" s="3" t="str">
        <f>_xlfn.XLOOKUP(K333,Employees!$A$2:$A$51,Employees!$E$2:$E$51)</f>
        <v>Hydrabed</v>
      </c>
      <c r="N333" s="3" t="s">
        <v>42</v>
      </c>
      <c r="O333" s="3" t="s">
        <v>46</v>
      </c>
      <c r="P333" s="11"/>
    </row>
    <row r="334" spans="1:16" x14ac:dyDescent="0.25">
      <c r="A334" s="3" t="s">
        <v>1457</v>
      </c>
      <c r="B334" s="6">
        <v>45995</v>
      </c>
      <c r="C334" s="3" t="s">
        <v>1458</v>
      </c>
      <c r="D334" s="3" t="s">
        <v>1459</v>
      </c>
      <c r="E334" s="3" t="s">
        <v>158</v>
      </c>
      <c r="F334" s="3" t="s">
        <v>569</v>
      </c>
      <c r="G334" s="3" t="s">
        <v>38</v>
      </c>
      <c r="H334" s="3">
        <v>6</v>
      </c>
      <c r="I334" s="3">
        <v>250</v>
      </c>
      <c r="J334" s="3">
        <v>1500</v>
      </c>
      <c r="K334" s="3" t="s">
        <v>93</v>
      </c>
      <c r="L334" s="3" t="str">
        <f>_xlfn.XLOOKUP(K334,Employees!$A$2:$A$51,Employees!$B$2:$B$51)</f>
        <v>Aisha Khan</v>
      </c>
      <c r="M334" s="3" t="str">
        <f>_xlfn.XLOOKUP(K334,Employees!$A$2:$A$51,Employees!$E$2:$E$51)</f>
        <v>Delhi</v>
      </c>
      <c r="N334" s="3" t="s">
        <v>45</v>
      </c>
      <c r="O334" s="3" t="s">
        <v>46</v>
      </c>
      <c r="P334" s="11"/>
    </row>
    <row r="335" spans="1:16" x14ac:dyDescent="0.25">
      <c r="A335" s="3" t="s">
        <v>1460</v>
      </c>
      <c r="B335" s="6">
        <v>45996</v>
      </c>
      <c r="C335" s="3" t="s">
        <v>1461</v>
      </c>
      <c r="D335" s="3" t="s">
        <v>1462</v>
      </c>
      <c r="E335" s="3" t="s">
        <v>159</v>
      </c>
      <c r="F335" s="3" t="s">
        <v>572</v>
      </c>
      <c r="G335" s="3" t="s">
        <v>39</v>
      </c>
      <c r="H335" s="3">
        <v>2</v>
      </c>
      <c r="I335" s="3">
        <v>9000</v>
      </c>
      <c r="J335" s="3">
        <v>18000</v>
      </c>
      <c r="K335" s="3" t="s">
        <v>94</v>
      </c>
      <c r="L335" s="3" t="str">
        <f>_xlfn.XLOOKUP(K335,Employees!$A$2:$A$51,Employees!$B$2:$B$51)</f>
        <v>Vikram Iyer</v>
      </c>
      <c r="M335" s="3" t="str">
        <f>_xlfn.XLOOKUP(K335,Employees!$A$2:$A$51,Employees!$E$2:$E$51)</f>
        <v>Bangalore</v>
      </c>
      <c r="N335" s="3" t="s">
        <v>41</v>
      </c>
      <c r="O335" s="3" t="s">
        <v>47</v>
      </c>
      <c r="P335" s="11"/>
    </row>
    <row r="336" spans="1:16" x14ac:dyDescent="0.25">
      <c r="A336" s="3" t="s">
        <v>1463</v>
      </c>
      <c r="B336" s="6">
        <v>45997</v>
      </c>
      <c r="C336" s="3" t="s">
        <v>1464</v>
      </c>
      <c r="D336" s="3" t="s">
        <v>1465</v>
      </c>
      <c r="E336" s="3" t="s">
        <v>160</v>
      </c>
      <c r="F336" s="3" t="s">
        <v>575</v>
      </c>
      <c r="G336" s="3" t="s">
        <v>40</v>
      </c>
      <c r="H336" s="3">
        <v>4</v>
      </c>
      <c r="I336" s="3">
        <v>600</v>
      </c>
      <c r="J336" s="3">
        <v>2400</v>
      </c>
      <c r="K336" s="3" t="s">
        <v>101</v>
      </c>
      <c r="L336" s="3" t="str">
        <f>_xlfn.XLOOKUP(K336,Employees!$A$2:$A$51,Employees!$B$2:$B$51)</f>
        <v>Neha Gupta</v>
      </c>
      <c r="M336" s="3" t="str">
        <f>_xlfn.XLOOKUP(K336,Employees!$A$2:$A$51,Employees!$E$2:$E$51)</f>
        <v>Mumbai</v>
      </c>
      <c r="N336" s="3" t="s">
        <v>42</v>
      </c>
      <c r="O336" s="3" t="s">
        <v>46</v>
      </c>
      <c r="P336" s="11"/>
    </row>
    <row r="337" spans="1:16" x14ac:dyDescent="0.25">
      <c r="A337" s="3" t="s">
        <v>1466</v>
      </c>
      <c r="B337" s="6">
        <v>45998</v>
      </c>
      <c r="C337" s="3" t="s">
        <v>1467</v>
      </c>
      <c r="D337" s="3" t="s">
        <v>1468</v>
      </c>
      <c r="E337" s="3" t="s">
        <v>161</v>
      </c>
      <c r="F337" s="3" t="s">
        <v>578</v>
      </c>
      <c r="G337" s="3" t="s">
        <v>36</v>
      </c>
      <c r="H337" s="3">
        <v>3</v>
      </c>
      <c r="I337" s="3">
        <v>21000</v>
      </c>
      <c r="J337" s="3">
        <v>63000</v>
      </c>
      <c r="K337" s="3" t="s">
        <v>105</v>
      </c>
      <c r="L337" s="3" t="str">
        <f>_xlfn.XLOOKUP(K337,Employees!$A$2:$A$51,Employees!$B$2:$B$51)</f>
        <v>Harish Ramanan</v>
      </c>
      <c r="M337" s="3" t="str">
        <f>_xlfn.XLOOKUP(K337,Employees!$A$2:$A$51,Employees!$E$2:$E$51)</f>
        <v>Chennai</v>
      </c>
      <c r="N337" s="3" t="s">
        <v>45</v>
      </c>
      <c r="O337" s="3" t="s">
        <v>48</v>
      </c>
      <c r="P337" s="11"/>
    </row>
    <row r="338" spans="1:16" x14ac:dyDescent="0.25">
      <c r="A338" s="3" t="s">
        <v>1469</v>
      </c>
      <c r="B338" s="6">
        <v>45999</v>
      </c>
      <c r="C338" s="3" t="s">
        <v>1470</v>
      </c>
      <c r="D338" s="3" t="s">
        <v>1471</v>
      </c>
      <c r="E338" s="3" t="s">
        <v>162</v>
      </c>
      <c r="F338" s="3" t="s">
        <v>581</v>
      </c>
      <c r="G338" s="3" t="s">
        <v>37</v>
      </c>
      <c r="H338" s="3">
        <v>2</v>
      </c>
      <c r="I338" s="3">
        <v>2500</v>
      </c>
      <c r="J338" s="3">
        <v>5000</v>
      </c>
      <c r="K338" s="3" t="s">
        <v>106</v>
      </c>
      <c r="L338" s="3" t="str">
        <f>_xlfn.XLOOKUP(K338,Employees!$A$2:$A$51,Employees!$B$2:$B$51)</f>
        <v>Lakshmi Devi</v>
      </c>
      <c r="M338" s="3" t="str">
        <f>_xlfn.XLOOKUP(K338,Employees!$A$2:$A$51,Employees!$E$2:$E$51)</f>
        <v>Bangalore</v>
      </c>
      <c r="N338" s="3" t="s">
        <v>45</v>
      </c>
      <c r="O338" s="3" t="s">
        <v>46</v>
      </c>
      <c r="P338" s="11"/>
    </row>
    <row r="339" spans="1:16" x14ac:dyDescent="0.25">
      <c r="A339" s="3" t="s">
        <v>1472</v>
      </c>
      <c r="B339" s="6">
        <v>46000</v>
      </c>
      <c r="C339" s="3" t="s">
        <v>1473</v>
      </c>
      <c r="D339" s="3" t="s">
        <v>1474</v>
      </c>
      <c r="E339" s="3" t="s">
        <v>163</v>
      </c>
      <c r="F339" s="3" t="s">
        <v>584</v>
      </c>
      <c r="G339" s="3" t="s">
        <v>38</v>
      </c>
      <c r="H339" s="3">
        <v>8</v>
      </c>
      <c r="I339" s="3">
        <v>700</v>
      </c>
      <c r="J339" s="3">
        <v>5600</v>
      </c>
      <c r="K339" s="3" t="s">
        <v>107</v>
      </c>
      <c r="L339" s="3" t="str">
        <f>_xlfn.XLOOKUP(K339,Employees!$A$2:$A$51,Employees!$B$2:$B$51)</f>
        <v>Mohammed Ali</v>
      </c>
      <c r="M339" s="3" t="str">
        <f>_xlfn.XLOOKUP(K339,Employees!$A$2:$A$51,Employees!$E$2:$E$51)</f>
        <v>Hydrabed</v>
      </c>
      <c r="N339" s="3" t="s">
        <v>43</v>
      </c>
      <c r="O339" s="3" t="s">
        <v>47</v>
      </c>
      <c r="P339" s="11"/>
    </row>
    <row r="340" spans="1:16" x14ac:dyDescent="0.25">
      <c r="A340" s="3" t="s">
        <v>1475</v>
      </c>
      <c r="B340" s="6">
        <v>46001</v>
      </c>
      <c r="C340" s="3" t="s">
        <v>1476</v>
      </c>
      <c r="D340" s="3" t="s">
        <v>1477</v>
      </c>
      <c r="E340" s="3" t="s">
        <v>164</v>
      </c>
      <c r="F340" s="3" t="s">
        <v>587</v>
      </c>
      <c r="G340" s="3" t="s">
        <v>39</v>
      </c>
      <c r="H340" s="3">
        <v>1</v>
      </c>
      <c r="I340" s="3">
        <v>18000</v>
      </c>
      <c r="J340" s="3">
        <v>18000</v>
      </c>
      <c r="K340" s="3" t="s">
        <v>108</v>
      </c>
      <c r="L340" s="3" t="str">
        <f>_xlfn.XLOOKUP(K340,Employees!$A$2:$A$51,Employees!$B$2:$B$51)</f>
        <v>Kavya Srinivas</v>
      </c>
      <c r="M340" s="3" t="str">
        <f>_xlfn.XLOOKUP(K340,Employees!$A$2:$A$51,Employees!$E$2:$E$51)</f>
        <v>Delhi</v>
      </c>
      <c r="N340" s="3" t="s">
        <v>43</v>
      </c>
      <c r="O340" s="3" t="s">
        <v>47</v>
      </c>
      <c r="P340" s="11"/>
    </row>
    <row r="341" spans="1:16" x14ac:dyDescent="0.25">
      <c r="A341" s="3" t="s">
        <v>1478</v>
      </c>
      <c r="B341" s="6">
        <v>46002</v>
      </c>
      <c r="C341" s="3" t="s">
        <v>1479</v>
      </c>
      <c r="D341" s="3" t="s">
        <v>1480</v>
      </c>
      <c r="E341" s="3" t="s">
        <v>165</v>
      </c>
      <c r="F341" s="3" t="s">
        <v>590</v>
      </c>
      <c r="G341" s="3" t="s">
        <v>40</v>
      </c>
      <c r="H341" s="3">
        <v>5</v>
      </c>
      <c r="I341" s="3">
        <v>900</v>
      </c>
      <c r="J341" s="3">
        <v>4500</v>
      </c>
      <c r="K341" s="3" t="s">
        <v>109</v>
      </c>
      <c r="L341" s="3" t="str">
        <f>_xlfn.XLOOKUP(K341,Employees!$A$2:$A$51,Employees!$B$2:$B$51)</f>
        <v>Rakesh Sharma</v>
      </c>
      <c r="M341" s="3" t="str">
        <f>_xlfn.XLOOKUP(K341,Employees!$A$2:$A$51,Employees!$E$2:$E$51)</f>
        <v>Mumbai</v>
      </c>
      <c r="N341" s="3" t="s">
        <v>43</v>
      </c>
      <c r="O341" s="3" t="s">
        <v>46</v>
      </c>
      <c r="P341" s="11"/>
    </row>
    <row r="342" spans="1:16" x14ac:dyDescent="0.25">
      <c r="A342" s="3" t="s">
        <v>1481</v>
      </c>
      <c r="B342" s="6">
        <v>46003</v>
      </c>
      <c r="C342" s="3" t="s">
        <v>1482</v>
      </c>
      <c r="D342" s="3" t="s">
        <v>1483</v>
      </c>
      <c r="E342" s="3" t="s">
        <v>166</v>
      </c>
      <c r="F342" s="3" t="s">
        <v>593</v>
      </c>
      <c r="G342" s="3" t="s">
        <v>36</v>
      </c>
      <c r="H342" s="3">
        <v>3</v>
      </c>
      <c r="I342" s="3">
        <v>15000</v>
      </c>
      <c r="J342" s="3">
        <v>45000</v>
      </c>
      <c r="K342" s="3" t="s">
        <v>51</v>
      </c>
      <c r="L342" s="3" t="str">
        <f>_xlfn.XLOOKUP(K342,Employees!$A$2:$A$51,Employees!$B$2:$B$51)</f>
        <v>Arjun Kumar</v>
      </c>
      <c r="M342" s="3" t="str">
        <f>_xlfn.XLOOKUP(K342,Employees!$A$2:$A$51,Employees!$E$2:$E$51)</f>
        <v>Chennai</v>
      </c>
      <c r="N342" s="3" t="s">
        <v>44</v>
      </c>
      <c r="O342" s="3" t="s">
        <v>47</v>
      </c>
      <c r="P342" s="11"/>
    </row>
    <row r="343" spans="1:16" x14ac:dyDescent="0.25">
      <c r="A343" s="3" t="s">
        <v>1484</v>
      </c>
      <c r="B343" s="6">
        <v>46004</v>
      </c>
      <c r="C343" s="3" t="s">
        <v>1485</v>
      </c>
      <c r="D343" s="3" t="s">
        <v>1486</v>
      </c>
      <c r="E343" s="3" t="s">
        <v>167</v>
      </c>
      <c r="F343" s="3" t="s">
        <v>596</v>
      </c>
      <c r="G343" s="3" t="s">
        <v>37</v>
      </c>
      <c r="H343" s="3">
        <v>2</v>
      </c>
      <c r="I343" s="3">
        <v>3000</v>
      </c>
      <c r="J343" s="3">
        <v>6000</v>
      </c>
      <c r="K343" s="3" t="s">
        <v>52</v>
      </c>
      <c r="L343" s="3" t="str">
        <f>_xlfn.XLOOKUP(K343,Employees!$A$2:$A$51,Employees!$B$2:$B$51)</f>
        <v>Priya Sharma</v>
      </c>
      <c r="M343" s="3" t="str">
        <f>_xlfn.XLOOKUP(K343,Employees!$A$2:$A$51,Employees!$E$2:$E$51)</f>
        <v>Bangalore</v>
      </c>
      <c r="N343" s="3" t="s">
        <v>42</v>
      </c>
      <c r="O343" s="3" t="s">
        <v>49</v>
      </c>
      <c r="P343" s="11"/>
    </row>
    <row r="344" spans="1:16" x14ac:dyDescent="0.25">
      <c r="A344" s="3" t="s">
        <v>1487</v>
      </c>
      <c r="B344" s="6">
        <v>46005</v>
      </c>
      <c r="C344" s="3" t="s">
        <v>1488</v>
      </c>
      <c r="D344" s="3" t="s">
        <v>1489</v>
      </c>
      <c r="E344" s="3" t="s">
        <v>168</v>
      </c>
      <c r="F344" s="3" t="s">
        <v>599</v>
      </c>
      <c r="G344" s="3" t="s">
        <v>38</v>
      </c>
      <c r="H344" s="3">
        <v>7</v>
      </c>
      <c r="I344" s="3">
        <v>400</v>
      </c>
      <c r="J344" s="3">
        <v>2800</v>
      </c>
      <c r="K344" s="3" t="s">
        <v>53</v>
      </c>
      <c r="L344" s="3" t="str">
        <f>_xlfn.XLOOKUP(K344,Employees!$A$2:$A$51,Employees!$B$2:$B$51)</f>
        <v>Rahul Verma</v>
      </c>
      <c r="M344" s="3" t="str">
        <f>_xlfn.XLOOKUP(K344,Employees!$A$2:$A$51,Employees!$E$2:$E$51)</f>
        <v>Hydrabed</v>
      </c>
      <c r="N344" s="3" t="s">
        <v>45</v>
      </c>
      <c r="O344" s="3" t="s">
        <v>48</v>
      </c>
      <c r="P344" s="11"/>
    </row>
    <row r="345" spans="1:16" x14ac:dyDescent="0.25">
      <c r="A345" s="3" t="s">
        <v>1490</v>
      </c>
      <c r="B345" s="6">
        <v>46006</v>
      </c>
      <c r="C345" s="3" t="s">
        <v>1491</v>
      </c>
      <c r="D345" s="3" t="s">
        <v>1492</v>
      </c>
      <c r="E345" s="3" t="s">
        <v>169</v>
      </c>
      <c r="F345" s="3" t="s">
        <v>602</v>
      </c>
      <c r="G345" s="3" t="s">
        <v>39</v>
      </c>
      <c r="H345" s="3">
        <v>1</v>
      </c>
      <c r="I345" s="3">
        <v>11000</v>
      </c>
      <c r="J345" s="3">
        <v>11000</v>
      </c>
      <c r="K345" s="3" t="s">
        <v>54</v>
      </c>
      <c r="L345" s="3" t="str">
        <f>_xlfn.XLOOKUP(K345,Employees!$A$2:$A$51,Employees!$B$2:$B$51)</f>
        <v>Sneha Reddy</v>
      </c>
      <c r="M345" s="3" t="str">
        <f>_xlfn.XLOOKUP(K345,Employees!$A$2:$A$51,Employees!$E$2:$E$51)</f>
        <v>Chennai</v>
      </c>
      <c r="N345" s="3" t="s">
        <v>42</v>
      </c>
      <c r="O345" s="3" t="s">
        <v>46</v>
      </c>
      <c r="P345" s="11"/>
    </row>
    <row r="346" spans="1:16" x14ac:dyDescent="0.25">
      <c r="A346" s="3" t="s">
        <v>1493</v>
      </c>
      <c r="B346" s="6">
        <v>46007</v>
      </c>
      <c r="C346" s="3" t="s">
        <v>1494</v>
      </c>
      <c r="D346" s="3" t="s">
        <v>1495</v>
      </c>
      <c r="E346" s="3" t="s">
        <v>170</v>
      </c>
      <c r="F346" s="3" t="s">
        <v>605</v>
      </c>
      <c r="G346" s="3" t="s">
        <v>40</v>
      </c>
      <c r="H346" s="3">
        <v>4</v>
      </c>
      <c r="I346" s="3">
        <v>750</v>
      </c>
      <c r="J346" s="3">
        <v>3000</v>
      </c>
      <c r="K346" s="3" t="s">
        <v>55</v>
      </c>
      <c r="L346" s="3" t="str">
        <f>_xlfn.XLOOKUP(K346,Employees!$A$2:$A$51,Employees!$B$2:$B$51)</f>
        <v>Karthik Raj</v>
      </c>
      <c r="M346" s="3" t="str">
        <f>_xlfn.XLOOKUP(K346,Employees!$A$2:$A$51,Employees!$E$2:$E$51)</f>
        <v>Bangalore</v>
      </c>
      <c r="N346" s="3" t="s">
        <v>45</v>
      </c>
      <c r="O346" s="3" t="s">
        <v>49</v>
      </c>
      <c r="P346" s="11"/>
    </row>
    <row r="347" spans="1:16" x14ac:dyDescent="0.25">
      <c r="A347" s="3" t="s">
        <v>1496</v>
      </c>
      <c r="B347" s="6">
        <v>46008</v>
      </c>
      <c r="C347" s="3" t="s">
        <v>1497</v>
      </c>
      <c r="D347" s="3" t="s">
        <v>1498</v>
      </c>
      <c r="E347" s="3" t="s">
        <v>171</v>
      </c>
      <c r="F347" s="3" t="s">
        <v>608</v>
      </c>
      <c r="G347" s="3" t="s">
        <v>36</v>
      </c>
      <c r="H347" s="3">
        <v>2</v>
      </c>
      <c r="I347" s="3">
        <v>28000</v>
      </c>
      <c r="J347" s="3">
        <v>56000</v>
      </c>
      <c r="K347" s="3" t="s">
        <v>56</v>
      </c>
      <c r="L347" s="3" t="str">
        <f>_xlfn.XLOOKUP(K347,Employees!$A$2:$A$51,Employees!$B$2:$B$51)</f>
        <v xml:space="preserve">Divya Nair </v>
      </c>
      <c r="M347" s="3" t="str">
        <f>_xlfn.XLOOKUP(K347,Employees!$A$2:$A$51,Employees!$E$2:$E$51)</f>
        <v>Hydrabed</v>
      </c>
      <c r="N347" s="3" t="s">
        <v>45</v>
      </c>
      <c r="O347" s="3" t="s">
        <v>47</v>
      </c>
      <c r="P347" s="11"/>
    </row>
    <row r="348" spans="1:16" x14ac:dyDescent="0.25">
      <c r="A348" s="3" t="s">
        <v>1499</v>
      </c>
      <c r="B348" s="6">
        <v>46009</v>
      </c>
      <c r="C348" s="3" t="s">
        <v>1500</v>
      </c>
      <c r="D348" s="3" t="s">
        <v>1501</v>
      </c>
      <c r="E348" s="3" t="s">
        <v>172</v>
      </c>
      <c r="F348" s="3" t="s">
        <v>611</v>
      </c>
      <c r="G348" s="3" t="s">
        <v>37</v>
      </c>
      <c r="H348" s="3">
        <v>5</v>
      </c>
      <c r="I348" s="3">
        <v>1200</v>
      </c>
      <c r="J348" s="3">
        <v>6000</v>
      </c>
      <c r="K348" s="3" t="s">
        <v>57</v>
      </c>
      <c r="L348" s="3" t="str">
        <f>_xlfn.XLOOKUP(K348,Employees!$A$2:$A$51,Employees!$B$2:$B$51)</f>
        <v>Ajay Singh</v>
      </c>
      <c r="M348" s="3" t="str">
        <f>_xlfn.XLOOKUP(K348,Employees!$A$2:$A$51,Employees!$E$2:$E$51)</f>
        <v>Chennai</v>
      </c>
      <c r="N348" s="3" t="s">
        <v>44</v>
      </c>
      <c r="O348" s="3" t="s">
        <v>48</v>
      </c>
      <c r="P348" s="11"/>
    </row>
    <row r="349" spans="1:16" x14ac:dyDescent="0.25">
      <c r="A349" s="3" t="s">
        <v>1502</v>
      </c>
      <c r="B349" s="6">
        <v>46010</v>
      </c>
      <c r="C349" s="3" t="s">
        <v>1503</v>
      </c>
      <c r="D349" s="3" t="s">
        <v>1504</v>
      </c>
      <c r="E349" s="3" t="s">
        <v>173</v>
      </c>
      <c r="F349" s="3" t="s">
        <v>614</v>
      </c>
      <c r="G349" s="3" t="s">
        <v>38</v>
      </c>
      <c r="H349" s="3">
        <v>3</v>
      </c>
      <c r="I349" s="3">
        <v>900</v>
      </c>
      <c r="J349" s="3">
        <v>2700</v>
      </c>
      <c r="K349" s="3" t="s">
        <v>58</v>
      </c>
      <c r="L349" s="3" t="str">
        <f>_xlfn.XLOOKUP(K349,Employees!$A$2:$A$51,Employees!$B$2:$B$51)</f>
        <v>Meera Joshi</v>
      </c>
      <c r="M349" s="3" t="str">
        <f>_xlfn.XLOOKUP(K349,Employees!$A$2:$A$51,Employees!$E$2:$E$51)</f>
        <v>Mumbai</v>
      </c>
      <c r="N349" s="3" t="s">
        <v>43</v>
      </c>
      <c r="O349" s="3" t="s">
        <v>47</v>
      </c>
      <c r="P349" s="11"/>
    </row>
    <row r="350" spans="1:16" x14ac:dyDescent="0.25">
      <c r="A350" s="3" t="s">
        <v>1505</v>
      </c>
      <c r="B350" s="6">
        <v>46011</v>
      </c>
      <c r="C350" s="3" t="s">
        <v>1506</v>
      </c>
      <c r="D350" s="3" t="s">
        <v>1507</v>
      </c>
      <c r="E350" s="3" t="s">
        <v>174</v>
      </c>
      <c r="F350" s="3" t="s">
        <v>617</v>
      </c>
      <c r="G350" s="3" t="s">
        <v>39</v>
      </c>
      <c r="H350" s="3">
        <v>2</v>
      </c>
      <c r="I350" s="3">
        <v>13000</v>
      </c>
      <c r="J350" s="3">
        <v>26000</v>
      </c>
      <c r="K350" s="3" t="s">
        <v>59</v>
      </c>
      <c r="L350" s="3" t="str">
        <f>_xlfn.XLOOKUP(K350,Employees!$A$2:$A$51,Employees!$B$2:$B$51)</f>
        <v>Sanjay Kumar</v>
      </c>
      <c r="M350" s="3" t="str">
        <f>_xlfn.XLOOKUP(K350,Employees!$A$2:$A$51,Employees!$E$2:$E$51)</f>
        <v>Delhi</v>
      </c>
      <c r="N350" s="3" t="s">
        <v>45</v>
      </c>
      <c r="O350" s="3" t="s">
        <v>46</v>
      </c>
      <c r="P350" s="11"/>
    </row>
    <row r="351" spans="1:16" x14ac:dyDescent="0.25">
      <c r="A351" s="3" t="s">
        <v>1508</v>
      </c>
      <c r="B351" s="6">
        <v>46012</v>
      </c>
      <c r="C351" s="3" t="s">
        <v>1509</v>
      </c>
      <c r="D351" s="3" t="s">
        <v>1510</v>
      </c>
      <c r="E351" s="3" t="s">
        <v>175</v>
      </c>
      <c r="F351" s="3" t="s">
        <v>620</v>
      </c>
      <c r="G351" s="3" t="s">
        <v>40</v>
      </c>
      <c r="H351" s="3">
        <v>6</v>
      </c>
      <c r="I351" s="3">
        <v>500</v>
      </c>
      <c r="J351" s="3">
        <v>3000</v>
      </c>
      <c r="K351" s="3" t="s">
        <v>60</v>
      </c>
      <c r="L351" s="3" t="str">
        <f>_xlfn.XLOOKUP(K351,Employees!$A$2:$A$51,Employees!$B$2:$B$51)</f>
        <v>Pooja Patel</v>
      </c>
      <c r="M351" s="3" t="str">
        <f>_xlfn.XLOOKUP(K351,Employees!$A$2:$A$51,Employees!$E$2:$E$51)</f>
        <v>Bangalore</v>
      </c>
      <c r="N351" s="3" t="s">
        <v>44</v>
      </c>
      <c r="O351" s="3" t="s">
        <v>49</v>
      </c>
      <c r="P351" s="11"/>
    </row>
    <row r="352" spans="1:16" x14ac:dyDescent="0.25">
      <c r="A352" s="3" t="s">
        <v>1511</v>
      </c>
      <c r="B352" s="6">
        <v>46013</v>
      </c>
      <c r="C352" s="3" t="s">
        <v>1512</v>
      </c>
      <c r="D352" s="3" t="s">
        <v>1513</v>
      </c>
      <c r="E352" s="3" t="s">
        <v>119</v>
      </c>
      <c r="F352" s="3" t="s">
        <v>533</v>
      </c>
      <c r="G352" s="3" t="s">
        <v>36</v>
      </c>
      <c r="H352" s="3">
        <v>1</v>
      </c>
      <c r="I352" s="3">
        <v>25000</v>
      </c>
      <c r="J352" s="3">
        <v>25000</v>
      </c>
      <c r="K352" s="3" t="s">
        <v>91</v>
      </c>
      <c r="L352" s="3" t="str">
        <f>_xlfn.XLOOKUP(K352,Employees!$A$2:$A$51,Employees!$B$2:$B$51)</f>
        <v>Nithya Krishnan</v>
      </c>
      <c r="M352" s="3" t="str">
        <f>_xlfn.XLOOKUP(K352,Employees!$A$2:$A$51,Employees!$E$2:$E$51)</f>
        <v>Chennai</v>
      </c>
      <c r="N352" s="3" t="s">
        <v>44</v>
      </c>
      <c r="O352" s="3" t="s">
        <v>49</v>
      </c>
      <c r="P352" s="11"/>
    </row>
    <row r="353" spans="1:16" x14ac:dyDescent="0.25">
      <c r="A353" s="3" t="s">
        <v>1514</v>
      </c>
      <c r="B353" s="6">
        <v>46014</v>
      </c>
      <c r="C353" s="3" t="s">
        <v>1515</v>
      </c>
      <c r="D353" s="3" t="s">
        <v>1516</v>
      </c>
      <c r="E353" s="3" t="s">
        <v>120</v>
      </c>
      <c r="F353" s="3" t="s">
        <v>536</v>
      </c>
      <c r="G353" s="3" t="s">
        <v>37</v>
      </c>
      <c r="H353" s="3">
        <v>2</v>
      </c>
      <c r="I353" s="3">
        <v>1500</v>
      </c>
      <c r="J353" s="3">
        <v>3000</v>
      </c>
      <c r="K353" s="3" t="s">
        <v>92</v>
      </c>
      <c r="L353" s="3" t="str">
        <f>_xlfn.XLOOKUP(K353,Employees!$A$2:$A$51,Employees!$B$2:$B$51)</f>
        <v>Rohit Mehta</v>
      </c>
      <c r="M353" s="3" t="str">
        <f>_xlfn.XLOOKUP(K353,Employees!$A$2:$A$51,Employees!$E$2:$E$51)</f>
        <v>Hydrabed</v>
      </c>
      <c r="N353" s="3" t="s">
        <v>43</v>
      </c>
      <c r="O353" s="3" t="s">
        <v>46</v>
      </c>
      <c r="P353" s="11"/>
    </row>
    <row r="354" spans="1:16" x14ac:dyDescent="0.25">
      <c r="A354" s="3" t="s">
        <v>1517</v>
      </c>
      <c r="B354" s="6">
        <v>46015</v>
      </c>
      <c r="C354" s="3" t="s">
        <v>1518</v>
      </c>
      <c r="D354" s="3" t="s">
        <v>1519</v>
      </c>
      <c r="E354" s="3" t="s">
        <v>121</v>
      </c>
      <c r="F354" s="3" t="s">
        <v>539</v>
      </c>
      <c r="G354" s="3" t="s">
        <v>38</v>
      </c>
      <c r="H354" s="3">
        <v>10</v>
      </c>
      <c r="I354" s="3">
        <v>500</v>
      </c>
      <c r="J354" s="3">
        <v>5000</v>
      </c>
      <c r="K354" s="3" t="s">
        <v>93</v>
      </c>
      <c r="L354" s="3" t="str">
        <f>_xlfn.XLOOKUP(K354,Employees!$A$2:$A$51,Employees!$B$2:$B$51)</f>
        <v>Aisha Khan</v>
      </c>
      <c r="M354" s="3" t="str">
        <f>_xlfn.XLOOKUP(K354,Employees!$A$2:$A$51,Employees!$E$2:$E$51)</f>
        <v>Delhi</v>
      </c>
      <c r="N354" s="3" t="s">
        <v>45</v>
      </c>
      <c r="O354" s="3" t="s">
        <v>48</v>
      </c>
      <c r="P354" s="11"/>
    </row>
    <row r="355" spans="1:16" x14ac:dyDescent="0.25">
      <c r="A355" s="3" t="s">
        <v>1520</v>
      </c>
      <c r="B355" s="6">
        <v>46016</v>
      </c>
      <c r="C355" s="3" t="s">
        <v>1521</v>
      </c>
      <c r="D355" s="3" t="s">
        <v>1522</v>
      </c>
      <c r="E355" s="3" t="s">
        <v>122</v>
      </c>
      <c r="F355" s="3" t="s">
        <v>542</v>
      </c>
      <c r="G355" s="3" t="s">
        <v>39</v>
      </c>
      <c r="H355" s="3">
        <v>1</v>
      </c>
      <c r="I355" s="3">
        <v>12000</v>
      </c>
      <c r="J355" s="3">
        <v>12000</v>
      </c>
      <c r="K355" s="3" t="s">
        <v>94</v>
      </c>
      <c r="L355" s="3" t="str">
        <f>_xlfn.XLOOKUP(K355,Employees!$A$2:$A$51,Employees!$B$2:$B$51)</f>
        <v>Vikram Iyer</v>
      </c>
      <c r="M355" s="3" t="str">
        <f>_xlfn.XLOOKUP(K355,Employees!$A$2:$A$51,Employees!$E$2:$E$51)</f>
        <v>Bangalore</v>
      </c>
      <c r="N355" s="3" t="s">
        <v>42</v>
      </c>
      <c r="O355" s="3" t="s">
        <v>46</v>
      </c>
      <c r="P355" s="11"/>
    </row>
    <row r="356" spans="1:16" x14ac:dyDescent="0.25">
      <c r="A356" s="3" t="s">
        <v>1523</v>
      </c>
      <c r="B356" s="6">
        <v>46017</v>
      </c>
      <c r="C356" s="3" t="s">
        <v>1524</v>
      </c>
      <c r="D356" s="3" t="s">
        <v>1525</v>
      </c>
      <c r="E356" s="3" t="s">
        <v>123</v>
      </c>
      <c r="F356" s="3" t="s">
        <v>545</v>
      </c>
      <c r="G356" s="3" t="s">
        <v>40</v>
      </c>
      <c r="H356" s="3">
        <v>3</v>
      </c>
      <c r="I356" s="3">
        <v>800</v>
      </c>
      <c r="J356" s="3">
        <v>2400</v>
      </c>
      <c r="K356" s="3" t="s">
        <v>101</v>
      </c>
      <c r="L356" s="3" t="str">
        <f>_xlfn.XLOOKUP(K356,Employees!$A$2:$A$51,Employees!$B$2:$B$51)</f>
        <v>Neha Gupta</v>
      </c>
      <c r="M356" s="3" t="str">
        <f>_xlfn.XLOOKUP(K356,Employees!$A$2:$A$51,Employees!$E$2:$E$51)</f>
        <v>Mumbai</v>
      </c>
      <c r="N356" s="3" t="s">
        <v>42</v>
      </c>
      <c r="O356" s="3" t="s">
        <v>46</v>
      </c>
      <c r="P356" s="11"/>
    </row>
    <row r="357" spans="1:16" x14ac:dyDescent="0.25">
      <c r="A357" s="3" t="s">
        <v>1526</v>
      </c>
      <c r="B357" s="6">
        <v>46018</v>
      </c>
      <c r="C357" s="3" t="s">
        <v>1527</v>
      </c>
      <c r="D357" s="3" t="s">
        <v>1528</v>
      </c>
      <c r="E357" s="3" t="s">
        <v>124</v>
      </c>
      <c r="F357" s="3" t="s">
        <v>548</v>
      </c>
      <c r="G357" s="3" t="s">
        <v>36</v>
      </c>
      <c r="H357" s="3">
        <v>2</v>
      </c>
      <c r="I357" s="3">
        <v>18000</v>
      </c>
      <c r="J357" s="3">
        <v>36000</v>
      </c>
      <c r="K357" s="3" t="s">
        <v>105</v>
      </c>
      <c r="L357" s="3" t="str">
        <f>_xlfn.XLOOKUP(K357,Employees!$A$2:$A$51,Employees!$B$2:$B$51)</f>
        <v>Harish Ramanan</v>
      </c>
      <c r="M357" s="3" t="str">
        <f>_xlfn.XLOOKUP(K357,Employees!$A$2:$A$51,Employees!$E$2:$E$51)</f>
        <v>Chennai</v>
      </c>
      <c r="N357" s="3" t="s">
        <v>43</v>
      </c>
      <c r="O357" s="3" t="s">
        <v>47</v>
      </c>
      <c r="P357" s="11"/>
    </row>
    <row r="358" spans="1:16" x14ac:dyDescent="0.25">
      <c r="A358" s="3" t="s">
        <v>1529</v>
      </c>
      <c r="B358" s="6">
        <v>46019</v>
      </c>
      <c r="C358" s="3" t="s">
        <v>1530</v>
      </c>
      <c r="D358" s="3" t="s">
        <v>1531</v>
      </c>
      <c r="E358" s="3" t="s">
        <v>125</v>
      </c>
      <c r="F358" s="3" t="s">
        <v>551</v>
      </c>
      <c r="G358" s="3" t="s">
        <v>37</v>
      </c>
      <c r="H358" s="3">
        <v>4</v>
      </c>
      <c r="I358" s="3">
        <v>2200</v>
      </c>
      <c r="J358" s="3">
        <v>8800</v>
      </c>
      <c r="K358" s="3" t="s">
        <v>106</v>
      </c>
      <c r="L358" s="3" t="str">
        <f>_xlfn.XLOOKUP(K358,Employees!$A$2:$A$51,Employees!$B$2:$B$51)</f>
        <v>Lakshmi Devi</v>
      </c>
      <c r="M358" s="3" t="str">
        <f>_xlfn.XLOOKUP(K358,Employees!$A$2:$A$51,Employees!$E$2:$E$51)</f>
        <v>Bangalore</v>
      </c>
      <c r="N358" s="3" t="s">
        <v>45</v>
      </c>
      <c r="O358" s="3" t="s">
        <v>47</v>
      </c>
      <c r="P358" s="11"/>
    </row>
    <row r="359" spans="1:16" x14ac:dyDescent="0.25">
      <c r="A359" s="3" t="s">
        <v>1532</v>
      </c>
      <c r="B359" s="6">
        <v>46020</v>
      </c>
      <c r="C359" s="3" t="s">
        <v>1533</v>
      </c>
      <c r="D359" s="3" t="s">
        <v>1534</v>
      </c>
      <c r="E359" s="3" t="s">
        <v>126</v>
      </c>
      <c r="F359" s="3" t="s">
        <v>554</v>
      </c>
      <c r="G359" s="3" t="s">
        <v>38</v>
      </c>
      <c r="H359" s="3">
        <v>5</v>
      </c>
      <c r="I359" s="3">
        <v>300</v>
      </c>
      <c r="J359" s="3">
        <v>1500</v>
      </c>
      <c r="K359" s="3" t="s">
        <v>107</v>
      </c>
      <c r="L359" s="3" t="str">
        <f>_xlfn.XLOOKUP(K359,Employees!$A$2:$A$51,Employees!$B$2:$B$51)</f>
        <v>Mohammed Ali</v>
      </c>
      <c r="M359" s="3" t="str">
        <f>_xlfn.XLOOKUP(K359,Employees!$A$2:$A$51,Employees!$E$2:$E$51)</f>
        <v>Hydrabed</v>
      </c>
      <c r="N359" s="3" t="s">
        <v>43</v>
      </c>
      <c r="O359" s="3" t="s">
        <v>49</v>
      </c>
      <c r="P359" s="11"/>
    </row>
    <row r="360" spans="1:16" x14ac:dyDescent="0.25">
      <c r="A360" s="3" t="s">
        <v>1535</v>
      </c>
      <c r="B360" s="6">
        <v>46021</v>
      </c>
      <c r="C360" s="3" t="s">
        <v>1536</v>
      </c>
      <c r="D360" s="3" t="s">
        <v>1537</v>
      </c>
      <c r="E360" s="3" t="s">
        <v>127</v>
      </c>
      <c r="F360" s="3" t="s">
        <v>557</v>
      </c>
      <c r="G360" s="3" t="s">
        <v>39</v>
      </c>
      <c r="H360" s="3">
        <v>2</v>
      </c>
      <c r="I360" s="3">
        <v>15000</v>
      </c>
      <c r="J360" s="3">
        <v>30000</v>
      </c>
      <c r="K360" s="3" t="s">
        <v>108</v>
      </c>
      <c r="L360" s="3" t="str">
        <f>_xlfn.XLOOKUP(K360,Employees!$A$2:$A$51,Employees!$B$2:$B$51)</f>
        <v>Kavya Srinivas</v>
      </c>
      <c r="M360" s="3" t="str">
        <f>_xlfn.XLOOKUP(K360,Employees!$A$2:$A$51,Employees!$E$2:$E$51)</f>
        <v>Delhi</v>
      </c>
      <c r="N360" s="3" t="s">
        <v>41</v>
      </c>
      <c r="O360" s="3" t="s">
        <v>48</v>
      </c>
      <c r="P360" s="11"/>
    </row>
    <row r="361" spans="1:16" x14ac:dyDescent="0.25">
      <c r="A361" s="3" t="s">
        <v>1538</v>
      </c>
      <c r="B361" s="6">
        <v>46022</v>
      </c>
      <c r="C361" s="3" t="s">
        <v>1539</v>
      </c>
      <c r="D361" s="3" t="s">
        <v>1540</v>
      </c>
      <c r="E361" s="3" t="s">
        <v>128</v>
      </c>
      <c r="F361" s="3" t="s">
        <v>560</v>
      </c>
      <c r="G361" s="3" t="s">
        <v>40</v>
      </c>
      <c r="H361" s="3">
        <v>3</v>
      </c>
      <c r="I361" s="3">
        <v>1200</v>
      </c>
      <c r="J361" s="3">
        <v>3600</v>
      </c>
      <c r="K361" s="3" t="s">
        <v>109</v>
      </c>
      <c r="L361" s="3" t="str">
        <f>_xlfn.XLOOKUP(K361,Employees!$A$2:$A$51,Employees!$B$2:$B$51)</f>
        <v>Rakesh Sharma</v>
      </c>
      <c r="M361" s="3" t="str">
        <f>_xlfn.XLOOKUP(K361,Employees!$A$2:$A$51,Employees!$E$2:$E$51)</f>
        <v>Mumbai</v>
      </c>
      <c r="N361" s="3" t="s">
        <v>45</v>
      </c>
      <c r="O361" s="3" t="s">
        <v>49</v>
      </c>
      <c r="P361" s="11"/>
    </row>
    <row r="362" spans="1:16" x14ac:dyDescent="0.25">
      <c r="A362" s="3" t="s">
        <v>1541</v>
      </c>
      <c r="B362" s="6">
        <v>46023</v>
      </c>
      <c r="C362" s="3" t="s">
        <v>1542</v>
      </c>
      <c r="D362" s="3" t="s">
        <v>1543</v>
      </c>
      <c r="E362" s="3" t="s">
        <v>156</v>
      </c>
      <c r="F362" s="3" t="s">
        <v>563</v>
      </c>
      <c r="G362" s="3" t="s">
        <v>36</v>
      </c>
      <c r="H362" s="3">
        <v>2</v>
      </c>
      <c r="I362" s="3">
        <v>32000</v>
      </c>
      <c r="J362" s="3">
        <v>64000</v>
      </c>
      <c r="K362" s="3" t="s">
        <v>51</v>
      </c>
      <c r="L362" s="3" t="str">
        <f>_xlfn.XLOOKUP(K362,Employees!$A$2:$A$51,Employees!$B$2:$B$51)</f>
        <v>Arjun Kumar</v>
      </c>
      <c r="M362" s="3" t="str">
        <f>_xlfn.XLOOKUP(K362,Employees!$A$2:$A$51,Employees!$E$2:$E$51)</f>
        <v>Chennai</v>
      </c>
      <c r="N362" s="3" t="s">
        <v>43</v>
      </c>
      <c r="O362" s="3" t="s">
        <v>47</v>
      </c>
      <c r="P362" s="11"/>
    </row>
    <row r="363" spans="1:16" x14ac:dyDescent="0.25">
      <c r="A363" s="3" t="s">
        <v>1544</v>
      </c>
      <c r="B363" s="6">
        <v>46024</v>
      </c>
      <c r="C363" s="3" t="s">
        <v>1545</v>
      </c>
      <c r="D363" s="3" t="s">
        <v>1546</v>
      </c>
      <c r="E363" s="3" t="s">
        <v>157</v>
      </c>
      <c r="F363" s="3" t="s">
        <v>566</v>
      </c>
      <c r="G363" s="3" t="s">
        <v>37</v>
      </c>
      <c r="H363" s="3">
        <v>1</v>
      </c>
      <c r="I363" s="3">
        <v>1800</v>
      </c>
      <c r="J363" s="3">
        <v>1800</v>
      </c>
      <c r="K363" s="3" t="s">
        <v>52</v>
      </c>
      <c r="L363" s="3" t="str">
        <f>_xlfn.XLOOKUP(K363,Employees!$A$2:$A$51,Employees!$B$2:$B$51)</f>
        <v>Priya Sharma</v>
      </c>
      <c r="M363" s="3" t="str">
        <f>_xlfn.XLOOKUP(K363,Employees!$A$2:$A$51,Employees!$E$2:$E$51)</f>
        <v>Bangalore</v>
      </c>
      <c r="N363" s="3" t="s">
        <v>42</v>
      </c>
      <c r="O363" s="3" t="s">
        <v>47</v>
      </c>
      <c r="P363" s="11"/>
    </row>
    <row r="364" spans="1:16" x14ac:dyDescent="0.25">
      <c r="A364" s="3" t="s">
        <v>1547</v>
      </c>
      <c r="B364" s="6">
        <v>46025</v>
      </c>
      <c r="C364" s="3" t="s">
        <v>1548</v>
      </c>
      <c r="D364" s="3" t="s">
        <v>1549</v>
      </c>
      <c r="E364" s="3" t="s">
        <v>158</v>
      </c>
      <c r="F364" s="3" t="s">
        <v>569</v>
      </c>
      <c r="G364" s="3" t="s">
        <v>38</v>
      </c>
      <c r="H364" s="3">
        <v>6</v>
      </c>
      <c r="I364" s="3">
        <v>250</v>
      </c>
      <c r="J364" s="3">
        <v>1500</v>
      </c>
      <c r="K364" s="3" t="s">
        <v>53</v>
      </c>
      <c r="L364" s="3" t="str">
        <f>_xlfn.XLOOKUP(K364,Employees!$A$2:$A$51,Employees!$B$2:$B$51)</f>
        <v>Rahul Verma</v>
      </c>
      <c r="M364" s="3" t="str">
        <f>_xlfn.XLOOKUP(K364,Employees!$A$2:$A$51,Employees!$E$2:$E$51)</f>
        <v>Hydrabed</v>
      </c>
      <c r="N364" s="3" t="s">
        <v>45</v>
      </c>
      <c r="O364" s="3" t="s">
        <v>49</v>
      </c>
      <c r="P364" s="11"/>
    </row>
    <row r="365" spans="1:16" x14ac:dyDescent="0.25">
      <c r="A365" s="3" t="s">
        <v>1550</v>
      </c>
      <c r="B365" s="6">
        <v>46026</v>
      </c>
      <c r="C365" s="3" t="s">
        <v>1551</v>
      </c>
      <c r="D365" s="3" t="s">
        <v>1552</v>
      </c>
      <c r="E365" s="3" t="s">
        <v>159</v>
      </c>
      <c r="F365" s="3" t="s">
        <v>572</v>
      </c>
      <c r="G365" s="3" t="s">
        <v>39</v>
      </c>
      <c r="H365" s="3">
        <v>2</v>
      </c>
      <c r="I365" s="3">
        <v>9000</v>
      </c>
      <c r="J365" s="3">
        <v>18000</v>
      </c>
      <c r="K365" s="3" t="s">
        <v>54</v>
      </c>
      <c r="L365" s="3" t="str">
        <f>_xlfn.XLOOKUP(K365,Employees!$A$2:$A$51,Employees!$B$2:$B$51)</f>
        <v>Sneha Reddy</v>
      </c>
      <c r="M365" s="3" t="str">
        <f>_xlfn.XLOOKUP(K365,Employees!$A$2:$A$51,Employees!$E$2:$E$51)</f>
        <v>Chennai</v>
      </c>
      <c r="N365" s="3" t="s">
        <v>45</v>
      </c>
      <c r="O365" s="3" t="s">
        <v>47</v>
      </c>
      <c r="P365" s="11"/>
    </row>
    <row r="366" spans="1:16" x14ac:dyDescent="0.25">
      <c r="A366" s="3" t="s">
        <v>1553</v>
      </c>
      <c r="B366" s="6">
        <v>46027</v>
      </c>
      <c r="C366" s="3" t="s">
        <v>1554</v>
      </c>
      <c r="D366" s="3" t="s">
        <v>1555</v>
      </c>
      <c r="E366" s="3" t="s">
        <v>160</v>
      </c>
      <c r="F366" s="3" t="s">
        <v>575</v>
      </c>
      <c r="G366" s="3" t="s">
        <v>40</v>
      </c>
      <c r="H366" s="3">
        <v>4</v>
      </c>
      <c r="I366" s="3">
        <v>600</v>
      </c>
      <c r="J366" s="3">
        <v>2400</v>
      </c>
      <c r="K366" s="3" t="s">
        <v>55</v>
      </c>
      <c r="L366" s="3" t="str">
        <f>_xlfn.XLOOKUP(K366,Employees!$A$2:$A$51,Employees!$B$2:$B$51)</f>
        <v>Karthik Raj</v>
      </c>
      <c r="M366" s="3" t="str">
        <f>_xlfn.XLOOKUP(K366,Employees!$A$2:$A$51,Employees!$E$2:$E$51)</f>
        <v>Bangalore</v>
      </c>
      <c r="N366" s="3" t="s">
        <v>41</v>
      </c>
      <c r="O366" s="3" t="s">
        <v>47</v>
      </c>
      <c r="P366" s="11"/>
    </row>
    <row r="367" spans="1:16" x14ac:dyDescent="0.25">
      <c r="A367" s="3" t="s">
        <v>1556</v>
      </c>
      <c r="B367" s="6">
        <v>46028</v>
      </c>
      <c r="C367" s="3" t="s">
        <v>1557</v>
      </c>
      <c r="D367" s="3" t="s">
        <v>1558</v>
      </c>
      <c r="E367" s="3" t="s">
        <v>161</v>
      </c>
      <c r="F367" s="3" t="s">
        <v>578</v>
      </c>
      <c r="G367" s="3" t="s">
        <v>36</v>
      </c>
      <c r="H367" s="3">
        <v>3</v>
      </c>
      <c r="I367" s="3">
        <v>21000</v>
      </c>
      <c r="J367" s="3">
        <v>63000</v>
      </c>
      <c r="K367" s="3" t="s">
        <v>56</v>
      </c>
      <c r="L367" s="3" t="str">
        <f>_xlfn.XLOOKUP(K367,Employees!$A$2:$A$51,Employees!$B$2:$B$51)</f>
        <v xml:space="preserve">Divya Nair </v>
      </c>
      <c r="M367" s="3" t="str">
        <f>_xlfn.XLOOKUP(K367,Employees!$A$2:$A$51,Employees!$E$2:$E$51)</f>
        <v>Hydrabed</v>
      </c>
      <c r="N367" s="3" t="s">
        <v>41</v>
      </c>
      <c r="O367" s="3" t="s">
        <v>47</v>
      </c>
      <c r="P367" s="11"/>
    </row>
    <row r="368" spans="1:16" x14ac:dyDescent="0.25">
      <c r="A368" s="3" t="s">
        <v>1559</v>
      </c>
      <c r="B368" s="6">
        <v>46029</v>
      </c>
      <c r="C368" s="3" t="s">
        <v>1560</v>
      </c>
      <c r="D368" s="3" t="s">
        <v>1561</v>
      </c>
      <c r="E368" s="3" t="s">
        <v>162</v>
      </c>
      <c r="F368" s="3" t="s">
        <v>581</v>
      </c>
      <c r="G368" s="3" t="s">
        <v>37</v>
      </c>
      <c r="H368" s="3">
        <v>2</v>
      </c>
      <c r="I368" s="3">
        <v>2500</v>
      </c>
      <c r="J368" s="3">
        <v>5000</v>
      </c>
      <c r="K368" s="3" t="s">
        <v>57</v>
      </c>
      <c r="L368" s="3" t="str">
        <f>_xlfn.XLOOKUP(K368,Employees!$A$2:$A$51,Employees!$B$2:$B$51)</f>
        <v>Ajay Singh</v>
      </c>
      <c r="M368" s="3" t="str">
        <f>_xlfn.XLOOKUP(K368,Employees!$A$2:$A$51,Employees!$E$2:$E$51)</f>
        <v>Chennai</v>
      </c>
      <c r="N368" s="3" t="s">
        <v>42</v>
      </c>
      <c r="O368" s="3" t="s">
        <v>48</v>
      </c>
      <c r="P368" s="11"/>
    </row>
    <row r="369" spans="1:16" x14ac:dyDescent="0.25">
      <c r="A369" s="3" t="s">
        <v>1562</v>
      </c>
      <c r="B369" s="6">
        <v>46030</v>
      </c>
      <c r="C369" s="3" t="s">
        <v>1563</v>
      </c>
      <c r="D369" s="3" t="s">
        <v>1564</v>
      </c>
      <c r="E369" s="3" t="s">
        <v>163</v>
      </c>
      <c r="F369" s="3" t="s">
        <v>584</v>
      </c>
      <c r="G369" s="3" t="s">
        <v>38</v>
      </c>
      <c r="H369" s="3">
        <v>8</v>
      </c>
      <c r="I369" s="3">
        <v>700</v>
      </c>
      <c r="J369" s="3">
        <v>5600</v>
      </c>
      <c r="K369" s="3" t="s">
        <v>58</v>
      </c>
      <c r="L369" s="3" t="str">
        <f>_xlfn.XLOOKUP(K369,Employees!$A$2:$A$51,Employees!$B$2:$B$51)</f>
        <v>Meera Joshi</v>
      </c>
      <c r="M369" s="3" t="str">
        <f>_xlfn.XLOOKUP(K369,Employees!$A$2:$A$51,Employees!$E$2:$E$51)</f>
        <v>Mumbai</v>
      </c>
      <c r="N369" s="3" t="s">
        <v>44</v>
      </c>
      <c r="O369" s="3" t="s">
        <v>48</v>
      </c>
      <c r="P369" s="11"/>
    </row>
    <row r="370" spans="1:16" x14ac:dyDescent="0.25">
      <c r="A370" s="3" t="s">
        <v>1565</v>
      </c>
      <c r="B370" s="6">
        <v>46031</v>
      </c>
      <c r="C370" s="3" t="s">
        <v>1566</v>
      </c>
      <c r="D370" s="3" t="s">
        <v>1567</v>
      </c>
      <c r="E370" s="3" t="s">
        <v>164</v>
      </c>
      <c r="F370" s="3" t="s">
        <v>587</v>
      </c>
      <c r="G370" s="3" t="s">
        <v>39</v>
      </c>
      <c r="H370" s="3">
        <v>1</v>
      </c>
      <c r="I370" s="3">
        <v>18000</v>
      </c>
      <c r="J370" s="3">
        <v>18000</v>
      </c>
      <c r="K370" s="3" t="s">
        <v>59</v>
      </c>
      <c r="L370" s="3" t="str">
        <f>_xlfn.XLOOKUP(K370,Employees!$A$2:$A$51,Employees!$B$2:$B$51)</f>
        <v>Sanjay Kumar</v>
      </c>
      <c r="M370" s="3" t="str">
        <f>_xlfn.XLOOKUP(K370,Employees!$A$2:$A$51,Employees!$E$2:$E$51)</f>
        <v>Delhi</v>
      </c>
      <c r="N370" s="3" t="s">
        <v>44</v>
      </c>
      <c r="O370" s="3" t="s">
        <v>47</v>
      </c>
      <c r="P370" s="11"/>
    </row>
    <row r="371" spans="1:16" x14ac:dyDescent="0.25">
      <c r="A371" s="3" t="s">
        <v>1568</v>
      </c>
      <c r="B371" s="6">
        <v>46032</v>
      </c>
      <c r="C371" s="3" t="s">
        <v>1569</v>
      </c>
      <c r="D371" s="3" t="s">
        <v>1570</v>
      </c>
      <c r="E371" s="3" t="s">
        <v>165</v>
      </c>
      <c r="F371" s="3" t="s">
        <v>590</v>
      </c>
      <c r="G371" s="3" t="s">
        <v>40</v>
      </c>
      <c r="H371" s="3">
        <v>5</v>
      </c>
      <c r="I371" s="3">
        <v>900</v>
      </c>
      <c r="J371" s="3">
        <v>4500</v>
      </c>
      <c r="K371" s="3" t="s">
        <v>60</v>
      </c>
      <c r="L371" s="3" t="str">
        <f>_xlfn.XLOOKUP(K371,Employees!$A$2:$A$51,Employees!$B$2:$B$51)</f>
        <v>Pooja Patel</v>
      </c>
      <c r="M371" s="3" t="str">
        <f>_xlfn.XLOOKUP(K371,Employees!$A$2:$A$51,Employees!$E$2:$E$51)</f>
        <v>Bangalore</v>
      </c>
      <c r="N371" s="3" t="s">
        <v>42</v>
      </c>
      <c r="O371" s="3" t="s">
        <v>48</v>
      </c>
      <c r="P371" s="11"/>
    </row>
    <row r="372" spans="1:16" x14ac:dyDescent="0.25">
      <c r="A372" s="3" t="s">
        <v>1571</v>
      </c>
      <c r="B372" s="6">
        <v>46033</v>
      </c>
      <c r="C372" s="3" t="s">
        <v>1572</v>
      </c>
      <c r="D372" s="3" t="s">
        <v>1573</v>
      </c>
      <c r="E372" s="3" t="s">
        <v>166</v>
      </c>
      <c r="F372" s="3" t="s">
        <v>593</v>
      </c>
      <c r="G372" s="3" t="s">
        <v>36</v>
      </c>
      <c r="H372" s="3">
        <v>3</v>
      </c>
      <c r="I372" s="3">
        <v>15000</v>
      </c>
      <c r="J372" s="3">
        <v>45000</v>
      </c>
      <c r="K372" s="3" t="s">
        <v>91</v>
      </c>
      <c r="L372" s="3" t="str">
        <f>_xlfn.XLOOKUP(K372,Employees!$A$2:$A$51,Employees!$B$2:$B$51)</f>
        <v>Nithya Krishnan</v>
      </c>
      <c r="M372" s="3" t="str">
        <f>_xlfn.XLOOKUP(K372,Employees!$A$2:$A$51,Employees!$E$2:$E$51)</f>
        <v>Chennai</v>
      </c>
      <c r="N372" s="3" t="s">
        <v>44</v>
      </c>
      <c r="O372" s="3" t="s">
        <v>48</v>
      </c>
      <c r="P372" s="11"/>
    </row>
    <row r="373" spans="1:16" x14ac:dyDescent="0.25">
      <c r="A373" s="3" t="s">
        <v>1574</v>
      </c>
      <c r="B373" s="6">
        <v>46034</v>
      </c>
      <c r="C373" s="3" t="s">
        <v>1575</v>
      </c>
      <c r="D373" s="3" t="s">
        <v>1576</v>
      </c>
      <c r="E373" s="3" t="s">
        <v>167</v>
      </c>
      <c r="F373" s="3" t="s">
        <v>596</v>
      </c>
      <c r="G373" s="3" t="s">
        <v>37</v>
      </c>
      <c r="H373" s="3">
        <v>2</v>
      </c>
      <c r="I373" s="3">
        <v>3000</v>
      </c>
      <c r="J373" s="3">
        <v>6000</v>
      </c>
      <c r="K373" s="3" t="s">
        <v>92</v>
      </c>
      <c r="L373" s="3" t="str">
        <f>_xlfn.XLOOKUP(K373,Employees!$A$2:$A$51,Employees!$B$2:$B$51)</f>
        <v>Rohit Mehta</v>
      </c>
      <c r="M373" s="3" t="str">
        <f>_xlfn.XLOOKUP(K373,Employees!$A$2:$A$51,Employees!$E$2:$E$51)</f>
        <v>Hydrabed</v>
      </c>
      <c r="N373" s="3" t="s">
        <v>44</v>
      </c>
      <c r="O373" s="3" t="s">
        <v>49</v>
      </c>
      <c r="P373" s="11"/>
    </row>
    <row r="374" spans="1:16" x14ac:dyDescent="0.25">
      <c r="A374" s="3" t="s">
        <v>1577</v>
      </c>
      <c r="B374" s="6">
        <v>46035</v>
      </c>
      <c r="C374" s="3" t="s">
        <v>1578</v>
      </c>
      <c r="D374" s="3" t="s">
        <v>1579</v>
      </c>
      <c r="E374" s="3" t="s">
        <v>168</v>
      </c>
      <c r="F374" s="3" t="s">
        <v>599</v>
      </c>
      <c r="G374" s="3" t="s">
        <v>38</v>
      </c>
      <c r="H374" s="3">
        <v>7</v>
      </c>
      <c r="I374" s="3">
        <v>400</v>
      </c>
      <c r="J374" s="3">
        <v>2800</v>
      </c>
      <c r="K374" s="3" t="s">
        <v>93</v>
      </c>
      <c r="L374" s="3" t="str">
        <f>_xlfn.XLOOKUP(K374,Employees!$A$2:$A$51,Employees!$B$2:$B$51)</f>
        <v>Aisha Khan</v>
      </c>
      <c r="M374" s="3" t="str">
        <f>_xlfn.XLOOKUP(K374,Employees!$A$2:$A$51,Employees!$E$2:$E$51)</f>
        <v>Delhi</v>
      </c>
      <c r="N374" s="3" t="s">
        <v>44</v>
      </c>
      <c r="O374" s="3" t="s">
        <v>47</v>
      </c>
      <c r="P374" s="11"/>
    </row>
    <row r="375" spans="1:16" x14ac:dyDescent="0.25">
      <c r="A375" s="3" t="s">
        <v>1580</v>
      </c>
      <c r="B375" s="6">
        <v>46036</v>
      </c>
      <c r="C375" s="3" t="s">
        <v>1581</v>
      </c>
      <c r="D375" s="3" t="s">
        <v>1582</v>
      </c>
      <c r="E375" s="3" t="s">
        <v>169</v>
      </c>
      <c r="F375" s="3" t="s">
        <v>602</v>
      </c>
      <c r="G375" s="3" t="s">
        <v>39</v>
      </c>
      <c r="H375" s="3">
        <v>1</v>
      </c>
      <c r="I375" s="3">
        <v>11000</v>
      </c>
      <c r="J375" s="3">
        <v>11000</v>
      </c>
      <c r="K375" s="3" t="s">
        <v>94</v>
      </c>
      <c r="L375" s="3" t="str">
        <f>_xlfn.XLOOKUP(K375,Employees!$A$2:$A$51,Employees!$B$2:$B$51)</f>
        <v>Vikram Iyer</v>
      </c>
      <c r="M375" s="3" t="str">
        <f>_xlfn.XLOOKUP(K375,Employees!$A$2:$A$51,Employees!$E$2:$E$51)</f>
        <v>Bangalore</v>
      </c>
      <c r="N375" s="3" t="s">
        <v>42</v>
      </c>
      <c r="O375" s="3" t="s">
        <v>46</v>
      </c>
      <c r="P375" s="11"/>
    </row>
    <row r="376" spans="1:16" x14ac:dyDescent="0.25">
      <c r="A376" s="3" t="s">
        <v>1583</v>
      </c>
      <c r="B376" s="6">
        <v>46037</v>
      </c>
      <c r="C376" s="3" t="s">
        <v>1584</v>
      </c>
      <c r="D376" s="3" t="s">
        <v>1585</v>
      </c>
      <c r="E376" s="3" t="s">
        <v>170</v>
      </c>
      <c r="F376" s="3" t="s">
        <v>605</v>
      </c>
      <c r="G376" s="3" t="s">
        <v>40</v>
      </c>
      <c r="H376" s="3">
        <v>4</v>
      </c>
      <c r="I376" s="3">
        <v>750</v>
      </c>
      <c r="J376" s="3">
        <v>3000</v>
      </c>
      <c r="K376" s="3" t="s">
        <v>101</v>
      </c>
      <c r="L376" s="3" t="str">
        <f>_xlfn.XLOOKUP(K376,Employees!$A$2:$A$51,Employees!$B$2:$B$51)</f>
        <v>Neha Gupta</v>
      </c>
      <c r="M376" s="3" t="str">
        <f>_xlfn.XLOOKUP(K376,Employees!$A$2:$A$51,Employees!$E$2:$E$51)</f>
        <v>Mumbai</v>
      </c>
      <c r="N376" s="3" t="s">
        <v>45</v>
      </c>
      <c r="O376" s="3" t="s">
        <v>46</v>
      </c>
      <c r="P376" s="11"/>
    </row>
    <row r="377" spans="1:16" x14ac:dyDescent="0.25">
      <c r="A377" s="3" t="s">
        <v>1586</v>
      </c>
      <c r="B377" s="6">
        <v>46038</v>
      </c>
      <c r="C377" s="3" t="s">
        <v>1587</v>
      </c>
      <c r="D377" s="3" t="s">
        <v>1588</v>
      </c>
      <c r="E377" s="3" t="s">
        <v>171</v>
      </c>
      <c r="F377" s="3" t="s">
        <v>608</v>
      </c>
      <c r="G377" s="3" t="s">
        <v>36</v>
      </c>
      <c r="H377" s="3">
        <v>2</v>
      </c>
      <c r="I377" s="3">
        <v>28000</v>
      </c>
      <c r="J377" s="3">
        <v>56000</v>
      </c>
      <c r="K377" s="3" t="s">
        <v>105</v>
      </c>
      <c r="L377" s="3" t="str">
        <f>_xlfn.XLOOKUP(K377,Employees!$A$2:$A$51,Employees!$B$2:$B$51)</f>
        <v>Harish Ramanan</v>
      </c>
      <c r="M377" s="3" t="str">
        <f>_xlfn.XLOOKUP(K377,Employees!$A$2:$A$51,Employees!$E$2:$E$51)</f>
        <v>Chennai</v>
      </c>
      <c r="N377" s="3" t="s">
        <v>41</v>
      </c>
      <c r="O377" s="3" t="s">
        <v>46</v>
      </c>
      <c r="P377" s="11"/>
    </row>
    <row r="378" spans="1:16" x14ac:dyDescent="0.25">
      <c r="A378" s="3" t="s">
        <v>1589</v>
      </c>
      <c r="B378" s="6">
        <v>46039</v>
      </c>
      <c r="C378" s="3" t="s">
        <v>1590</v>
      </c>
      <c r="D378" s="3" t="s">
        <v>1591</v>
      </c>
      <c r="E378" s="3" t="s">
        <v>172</v>
      </c>
      <c r="F378" s="3" t="s">
        <v>611</v>
      </c>
      <c r="G378" s="3" t="s">
        <v>37</v>
      </c>
      <c r="H378" s="3">
        <v>5</v>
      </c>
      <c r="I378" s="3">
        <v>1200</v>
      </c>
      <c r="J378" s="3">
        <v>6000</v>
      </c>
      <c r="K378" s="3" t="s">
        <v>106</v>
      </c>
      <c r="L378" s="3" t="str">
        <f>_xlfn.XLOOKUP(K378,Employees!$A$2:$A$51,Employees!$B$2:$B$51)</f>
        <v>Lakshmi Devi</v>
      </c>
      <c r="M378" s="3" t="str">
        <f>_xlfn.XLOOKUP(K378,Employees!$A$2:$A$51,Employees!$E$2:$E$51)</f>
        <v>Bangalore</v>
      </c>
      <c r="N378" s="3" t="s">
        <v>42</v>
      </c>
      <c r="O378" s="3" t="s">
        <v>48</v>
      </c>
      <c r="P378" s="11"/>
    </row>
    <row r="379" spans="1:16" x14ac:dyDescent="0.25">
      <c r="A379" s="3" t="s">
        <v>1592</v>
      </c>
      <c r="B379" s="6">
        <v>46040</v>
      </c>
      <c r="C379" s="3" t="s">
        <v>1593</v>
      </c>
      <c r="D379" s="3" t="s">
        <v>1594</v>
      </c>
      <c r="E379" s="3" t="s">
        <v>173</v>
      </c>
      <c r="F379" s="3" t="s">
        <v>614</v>
      </c>
      <c r="G379" s="3" t="s">
        <v>38</v>
      </c>
      <c r="H379" s="3">
        <v>3</v>
      </c>
      <c r="I379" s="3">
        <v>900</v>
      </c>
      <c r="J379" s="3">
        <v>2700</v>
      </c>
      <c r="K379" s="3" t="s">
        <v>107</v>
      </c>
      <c r="L379" s="3" t="str">
        <f>_xlfn.XLOOKUP(K379,Employees!$A$2:$A$51,Employees!$B$2:$B$51)</f>
        <v>Mohammed Ali</v>
      </c>
      <c r="M379" s="3" t="str">
        <f>_xlfn.XLOOKUP(K379,Employees!$A$2:$A$51,Employees!$E$2:$E$51)</f>
        <v>Hydrabed</v>
      </c>
      <c r="N379" s="3" t="s">
        <v>41</v>
      </c>
      <c r="O379" s="3" t="s">
        <v>49</v>
      </c>
      <c r="P379" s="11"/>
    </row>
    <row r="380" spans="1:16" x14ac:dyDescent="0.25">
      <c r="A380" s="3" t="s">
        <v>1595</v>
      </c>
      <c r="B380" s="6">
        <v>46041</v>
      </c>
      <c r="C380" s="3" t="s">
        <v>1596</v>
      </c>
      <c r="D380" s="3" t="s">
        <v>1597</v>
      </c>
      <c r="E380" s="3" t="s">
        <v>174</v>
      </c>
      <c r="F380" s="3" t="s">
        <v>617</v>
      </c>
      <c r="G380" s="3" t="s">
        <v>39</v>
      </c>
      <c r="H380" s="3">
        <v>2</v>
      </c>
      <c r="I380" s="3">
        <v>13000</v>
      </c>
      <c r="J380" s="3">
        <v>26000</v>
      </c>
      <c r="K380" s="3" t="s">
        <v>108</v>
      </c>
      <c r="L380" s="3" t="str">
        <f>_xlfn.XLOOKUP(K380,Employees!$A$2:$A$51,Employees!$B$2:$B$51)</f>
        <v>Kavya Srinivas</v>
      </c>
      <c r="M380" s="3" t="str">
        <f>_xlfn.XLOOKUP(K380,Employees!$A$2:$A$51,Employees!$E$2:$E$51)</f>
        <v>Delhi</v>
      </c>
      <c r="N380" s="3" t="s">
        <v>42</v>
      </c>
      <c r="O380" s="3" t="s">
        <v>48</v>
      </c>
      <c r="P380" s="11"/>
    </row>
    <row r="381" spans="1:16" x14ac:dyDescent="0.25">
      <c r="A381" s="3" t="s">
        <v>1598</v>
      </c>
      <c r="B381" s="6">
        <v>46042</v>
      </c>
      <c r="C381" s="3" t="s">
        <v>1599</v>
      </c>
      <c r="D381" s="3" t="s">
        <v>1600</v>
      </c>
      <c r="E381" s="3" t="s">
        <v>175</v>
      </c>
      <c r="F381" s="3" t="s">
        <v>620</v>
      </c>
      <c r="G381" s="3" t="s">
        <v>40</v>
      </c>
      <c r="H381" s="3">
        <v>6</v>
      </c>
      <c r="I381" s="3">
        <v>500</v>
      </c>
      <c r="J381" s="3">
        <v>3000</v>
      </c>
      <c r="K381" s="3" t="s">
        <v>109</v>
      </c>
      <c r="L381" s="3" t="str">
        <f>_xlfn.XLOOKUP(K381,Employees!$A$2:$A$51,Employees!$B$2:$B$51)</f>
        <v>Rakesh Sharma</v>
      </c>
      <c r="M381" s="3" t="str">
        <f>_xlfn.XLOOKUP(K381,Employees!$A$2:$A$51,Employees!$E$2:$E$51)</f>
        <v>Mumbai</v>
      </c>
      <c r="N381" s="3" t="s">
        <v>41</v>
      </c>
      <c r="O381" s="3" t="s">
        <v>46</v>
      </c>
      <c r="P381" s="11"/>
    </row>
    <row r="382" spans="1:16" x14ac:dyDescent="0.25">
      <c r="A382" s="3" t="s">
        <v>1601</v>
      </c>
      <c r="B382" s="6">
        <v>46043</v>
      </c>
      <c r="C382" s="3" t="s">
        <v>1602</v>
      </c>
      <c r="D382" s="3" t="s">
        <v>1603</v>
      </c>
      <c r="E382" s="3" t="s">
        <v>119</v>
      </c>
      <c r="F382" s="3" t="s">
        <v>533</v>
      </c>
      <c r="G382" s="3" t="s">
        <v>36</v>
      </c>
      <c r="H382" s="3">
        <v>1</v>
      </c>
      <c r="I382" s="3">
        <v>25000</v>
      </c>
      <c r="J382" s="3">
        <v>25000</v>
      </c>
      <c r="K382" s="3" t="s">
        <v>51</v>
      </c>
      <c r="L382" s="3" t="str">
        <f>_xlfn.XLOOKUP(K382,Employees!$A$2:$A$51,Employees!$B$2:$B$51)</f>
        <v>Arjun Kumar</v>
      </c>
      <c r="M382" s="3" t="str">
        <f>_xlfn.XLOOKUP(K382,Employees!$A$2:$A$51,Employees!$E$2:$E$51)</f>
        <v>Chennai</v>
      </c>
      <c r="N382" s="3" t="s">
        <v>41</v>
      </c>
      <c r="O382" s="3" t="s">
        <v>47</v>
      </c>
      <c r="P382" s="11"/>
    </row>
    <row r="383" spans="1:16" x14ac:dyDescent="0.25">
      <c r="A383" s="3" t="s">
        <v>1604</v>
      </c>
      <c r="B383" s="6">
        <v>46044</v>
      </c>
      <c r="C383" s="3" t="s">
        <v>1605</v>
      </c>
      <c r="D383" s="3" t="s">
        <v>1606</v>
      </c>
      <c r="E383" s="3" t="s">
        <v>120</v>
      </c>
      <c r="F383" s="3" t="s">
        <v>536</v>
      </c>
      <c r="G383" s="3" t="s">
        <v>37</v>
      </c>
      <c r="H383" s="3">
        <v>2</v>
      </c>
      <c r="I383" s="3">
        <v>1500</v>
      </c>
      <c r="J383" s="3">
        <v>3000</v>
      </c>
      <c r="K383" s="3" t="s">
        <v>52</v>
      </c>
      <c r="L383" s="3" t="str">
        <f>_xlfn.XLOOKUP(K383,Employees!$A$2:$A$51,Employees!$B$2:$B$51)</f>
        <v>Priya Sharma</v>
      </c>
      <c r="M383" s="3" t="str">
        <f>_xlfn.XLOOKUP(K383,Employees!$A$2:$A$51,Employees!$E$2:$E$51)</f>
        <v>Bangalore</v>
      </c>
      <c r="N383" s="3" t="s">
        <v>43</v>
      </c>
      <c r="O383" s="3" t="s">
        <v>48</v>
      </c>
      <c r="P383" s="11"/>
    </row>
    <row r="384" spans="1:16" x14ac:dyDescent="0.25">
      <c r="A384" s="3" t="s">
        <v>1607</v>
      </c>
      <c r="B384" s="6">
        <v>46045</v>
      </c>
      <c r="C384" s="3" t="s">
        <v>1608</v>
      </c>
      <c r="D384" s="3" t="s">
        <v>1609</v>
      </c>
      <c r="E384" s="3" t="s">
        <v>121</v>
      </c>
      <c r="F384" s="3" t="s">
        <v>539</v>
      </c>
      <c r="G384" s="3" t="s">
        <v>38</v>
      </c>
      <c r="H384" s="3">
        <v>10</v>
      </c>
      <c r="I384" s="3">
        <v>500</v>
      </c>
      <c r="J384" s="3">
        <v>5000</v>
      </c>
      <c r="K384" s="3" t="s">
        <v>53</v>
      </c>
      <c r="L384" s="3" t="str">
        <f>_xlfn.XLOOKUP(K384,Employees!$A$2:$A$51,Employees!$B$2:$B$51)</f>
        <v>Rahul Verma</v>
      </c>
      <c r="M384" s="3" t="str">
        <f>_xlfn.XLOOKUP(K384,Employees!$A$2:$A$51,Employees!$E$2:$E$51)</f>
        <v>Hydrabed</v>
      </c>
      <c r="N384" s="3" t="s">
        <v>41</v>
      </c>
      <c r="O384" s="3" t="s">
        <v>49</v>
      </c>
      <c r="P384" s="11"/>
    </row>
    <row r="385" spans="1:16" x14ac:dyDescent="0.25">
      <c r="A385" s="3" t="s">
        <v>1610</v>
      </c>
      <c r="B385" s="6">
        <v>46046</v>
      </c>
      <c r="C385" s="3" t="s">
        <v>1611</v>
      </c>
      <c r="D385" s="3" t="s">
        <v>1612</v>
      </c>
      <c r="E385" s="3" t="s">
        <v>122</v>
      </c>
      <c r="F385" s="3" t="s">
        <v>542</v>
      </c>
      <c r="G385" s="3" t="s">
        <v>39</v>
      </c>
      <c r="H385" s="3">
        <v>1</v>
      </c>
      <c r="I385" s="3">
        <v>12000</v>
      </c>
      <c r="J385" s="3">
        <v>12000</v>
      </c>
      <c r="K385" s="3" t="s">
        <v>54</v>
      </c>
      <c r="L385" s="3" t="str">
        <f>_xlfn.XLOOKUP(K385,Employees!$A$2:$A$51,Employees!$B$2:$B$51)</f>
        <v>Sneha Reddy</v>
      </c>
      <c r="M385" s="3" t="str">
        <f>_xlfn.XLOOKUP(K385,Employees!$A$2:$A$51,Employees!$E$2:$E$51)</f>
        <v>Chennai</v>
      </c>
      <c r="N385" s="3" t="s">
        <v>44</v>
      </c>
      <c r="O385" s="3" t="s">
        <v>46</v>
      </c>
      <c r="P385" s="11"/>
    </row>
    <row r="386" spans="1:16" x14ac:dyDescent="0.25">
      <c r="A386" s="3" t="s">
        <v>1613</v>
      </c>
      <c r="B386" s="6">
        <v>46047</v>
      </c>
      <c r="C386" s="3" t="s">
        <v>1614</v>
      </c>
      <c r="D386" s="3" t="s">
        <v>1615</v>
      </c>
      <c r="E386" s="3" t="s">
        <v>123</v>
      </c>
      <c r="F386" s="3" t="s">
        <v>545</v>
      </c>
      <c r="G386" s="3" t="s">
        <v>40</v>
      </c>
      <c r="H386" s="3">
        <v>3</v>
      </c>
      <c r="I386" s="3">
        <v>800</v>
      </c>
      <c r="J386" s="3">
        <v>2400</v>
      </c>
      <c r="K386" s="3" t="s">
        <v>55</v>
      </c>
      <c r="L386" s="3" t="str">
        <f>_xlfn.XLOOKUP(K386,Employees!$A$2:$A$51,Employees!$B$2:$B$51)</f>
        <v>Karthik Raj</v>
      </c>
      <c r="M386" s="3" t="str">
        <f>_xlfn.XLOOKUP(K386,Employees!$A$2:$A$51,Employees!$E$2:$E$51)</f>
        <v>Bangalore</v>
      </c>
      <c r="N386" s="3" t="s">
        <v>45</v>
      </c>
      <c r="O386" s="3" t="s">
        <v>49</v>
      </c>
      <c r="P386" s="11"/>
    </row>
    <row r="387" spans="1:16" x14ac:dyDescent="0.25">
      <c r="A387" s="3" t="s">
        <v>1616</v>
      </c>
      <c r="B387" s="6">
        <v>46048</v>
      </c>
      <c r="C387" s="3" t="s">
        <v>1617</v>
      </c>
      <c r="D387" s="3" t="s">
        <v>1618</v>
      </c>
      <c r="E387" s="3" t="s">
        <v>124</v>
      </c>
      <c r="F387" s="3" t="s">
        <v>548</v>
      </c>
      <c r="G387" s="3" t="s">
        <v>36</v>
      </c>
      <c r="H387" s="3">
        <v>2</v>
      </c>
      <c r="I387" s="3">
        <v>18000</v>
      </c>
      <c r="J387" s="3">
        <v>36000</v>
      </c>
      <c r="K387" s="3" t="s">
        <v>56</v>
      </c>
      <c r="L387" s="3" t="str">
        <f>_xlfn.XLOOKUP(K387,Employees!$A$2:$A$51,Employees!$B$2:$B$51)</f>
        <v xml:space="preserve">Divya Nair </v>
      </c>
      <c r="M387" s="3" t="str">
        <f>_xlfn.XLOOKUP(K387,Employees!$A$2:$A$51,Employees!$E$2:$E$51)</f>
        <v>Hydrabed</v>
      </c>
      <c r="N387" s="3" t="s">
        <v>43</v>
      </c>
      <c r="O387" s="3" t="s">
        <v>46</v>
      </c>
      <c r="P387" s="11"/>
    </row>
    <row r="388" spans="1:16" x14ac:dyDescent="0.25">
      <c r="A388" s="3" t="s">
        <v>1619</v>
      </c>
      <c r="B388" s="6">
        <v>46049</v>
      </c>
      <c r="C388" s="3" t="s">
        <v>1620</v>
      </c>
      <c r="D388" s="3" t="s">
        <v>1621</v>
      </c>
      <c r="E388" s="3" t="s">
        <v>125</v>
      </c>
      <c r="F388" s="3" t="s">
        <v>551</v>
      </c>
      <c r="G388" s="3" t="s">
        <v>37</v>
      </c>
      <c r="H388" s="3">
        <v>4</v>
      </c>
      <c r="I388" s="3">
        <v>2200</v>
      </c>
      <c r="J388" s="3">
        <v>8800</v>
      </c>
      <c r="K388" s="3" t="s">
        <v>57</v>
      </c>
      <c r="L388" s="3" t="str">
        <f>_xlfn.XLOOKUP(K388,Employees!$A$2:$A$51,Employees!$B$2:$B$51)</f>
        <v>Ajay Singh</v>
      </c>
      <c r="M388" s="3" t="str">
        <f>_xlfn.XLOOKUP(K388,Employees!$A$2:$A$51,Employees!$E$2:$E$51)</f>
        <v>Chennai</v>
      </c>
      <c r="N388" s="3" t="s">
        <v>43</v>
      </c>
      <c r="O388" s="3" t="s">
        <v>46</v>
      </c>
      <c r="P388" s="11"/>
    </row>
    <row r="389" spans="1:16" x14ac:dyDescent="0.25">
      <c r="A389" s="3" t="s">
        <v>1622</v>
      </c>
      <c r="B389" s="6">
        <v>46050</v>
      </c>
      <c r="C389" s="3" t="s">
        <v>1623</v>
      </c>
      <c r="D389" s="3" t="s">
        <v>1624</v>
      </c>
      <c r="E389" s="3" t="s">
        <v>126</v>
      </c>
      <c r="F389" s="3" t="s">
        <v>554</v>
      </c>
      <c r="G389" s="3" t="s">
        <v>38</v>
      </c>
      <c r="H389" s="3">
        <v>5</v>
      </c>
      <c r="I389" s="3">
        <v>300</v>
      </c>
      <c r="J389" s="3">
        <v>1500</v>
      </c>
      <c r="K389" s="3" t="s">
        <v>58</v>
      </c>
      <c r="L389" s="3" t="str">
        <f>_xlfn.XLOOKUP(K389,Employees!$A$2:$A$51,Employees!$B$2:$B$51)</f>
        <v>Meera Joshi</v>
      </c>
      <c r="M389" s="3" t="str">
        <f>_xlfn.XLOOKUP(K389,Employees!$A$2:$A$51,Employees!$E$2:$E$51)</f>
        <v>Mumbai</v>
      </c>
      <c r="N389" s="3" t="s">
        <v>43</v>
      </c>
      <c r="O389" s="3" t="s">
        <v>46</v>
      </c>
      <c r="P389" s="11"/>
    </row>
    <row r="390" spans="1:16" x14ac:dyDescent="0.25">
      <c r="A390" s="3" t="s">
        <v>1625</v>
      </c>
      <c r="B390" s="6">
        <v>46051</v>
      </c>
      <c r="C390" s="3" t="s">
        <v>1626</v>
      </c>
      <c r="D390" s="3" t="s">
        <v>1627</v>
      </c>
      <c r="E390" s="3" t="s">
        <v>127</v>
      </c>
      <c r="F390" s="3" t="s">
        <v>557</v>
      </c>
      <c r="G390" s="3" t="s">
        <v>39</v>
      </c>
      <c r="H390" s="3">
        <v>2</v>
      </c>
      <c r="I390" s="3">
        <v>15000</v>
      </c>
      <c r="J390" s="3">
        <v>30000</v>
      </c>
      <c r="K390" s="3" t="s">
        <v>59</v>
      </c>
      <c r="L390" s="3" t="str">
        <f>_xlfn.XLOOKUP(K390,Employees!$A$2:$A$51,Employees!$B$2:$B$51)</f>
        <v>Sanjay Kumar</v>
      </c>
      <c r="M390" s="3" t="str">
        <f>_xlfn.XLOOKUP(K390,Employees!$A$2:$A$51,Employees!$E$2:$E$51)</f>
        <v>Delhi</v>
      </c>
      <c r="N390" s="3" t="s">
        <v>45</v>
      </c>
      <c r="O390" s="3" t="s">
        <v>48</v>
      </c>
      <c r="P390" s="11"/>
    </row>
    <row r="391" spans="1:16" x14ac:dyDescent="0.25">
      <c r="A391" s="3" t="s">
        <v>1628</v>
      </c>
      <c r="B391" s="6">
        <v>46052</v>
      </c>
      <c r="C391" s="3" t="s">
        <v>1629</v>
      </c>
      <c r="D391" s="3" t="s">
        <v>1630</v>
      </c>
      <c r="E391" s="3" t="s">
        <v>128</v>
      </c>
      <c r="F391" s="3" t="s">
        <v>560</v>
      </c>
      <c r="G391" s="3" t="s">
        <v>40</v>
      </c>
      <c r="H391" s="3">
        <v>3</v>
      </c>
      <c r="I391" s="3">
        <v>1200</v>
      </c>
      <c r="J391" s="3">
        <v>3600</v>
      </c>
      <c r="K391" s="3" t="s">
        <v>60</v>
      </c>
      <c r="L391" s="3" t="str">
        <f>_xlfn.XLOOKUP(K391,Employees!$A$2:$A$51,Employees!$B$2:$B$51)</f>
        <v>Pooja Patel</v>
      </c>
      <c r="M391" s="3" t="str">
        <f>_xlfn.XLOOKUP(K391,Employees!$A$2:$A$51,Employees!$E$2:$E$51)</f>
        <v>Bangalore</v>
      </c>
      <c r="N391" s="3" t="s">
        <v>42</v>
      </c>
      <c r="O391" s="3" t="s">
        <v>46</v>
      </c>
      <c r="P391" s="11"/>
    </row>
    <row r="392" spans="1:16" x14ac:dyDescent="0.25">
      <c r="A392" s="3" t="s">
        <v>1631</v>
      </c>
      <c r="B392" s="6">
        <v>46053</v>
      </c>
      <c r="C392" s="3" t="s">
        <v>1632</v>
      </c>
      <c r="D392" s="3" t="s">
        <v>1633</v>
      </c>
      <c r="E392" s="3" t="s">
        <v>156</v>
      </c>
      <c r="F392" s="3" t="s">
        <v>563</v>
      </c>
      <c r="G392" s="3" t="s">
        <v>36</v>
      </c>
      <c r="H392" s="3">
        <v>2</v>
      </c>
      <c r="I392" s="3">
        <v>32000</v>
      </c>
      <c r="J392" s="3">
        <v>64000</v>
      </c>
      <c r="K392" s="3" t="s">
        <v>91</v>
      </c>
      <c r="L392" s="3" t="str">
        <f>_xlfn.XLOOKUP(K392,Employees!$A$2:$A$51,Employees!$B$2:$B$51)</f>
        <v>Nithya Krishnan</v>
      </c>
      <c r="M392" s="3" t="str">
        <f>_xlfn.XLOOKUP(K392,Employees!$A$2:$A$51,Employees!$E$2:$E$51)</f>
        <v>Chennai</v>
      </c>
      <c r="N392" s="3" t="s">
        <v>45</v>
      </c>
      <c r="O392" s="3" t="s">
        <v>47</v>
      </c>
      <c r="P392" s="11"/>
    </row>
    <row r="393" spans="1:16" x14ac:dyDescent="0.25">
      <c r="A393" s="3" t="s">
        <v>1634</v>
      </c>
      <c r="B393" s="6">
        <v>46054</v>
      </c>
      <c r="C393" s="3" t="s">
        <v>1635</v>
      </c>
      <c r="D393" s="3" t="s">
        <v>1636</v>
      </c>
      <c r="E393" s="3" t="s">
        <v>157</v>
      </c>
      <c r="F393" s="3" t="s">
        <v>566</v>
      </c>
      <c r="G393" s="3" t="s">
        <v>37</v>
      </c>
      <c r="H393" s="3">
        <v>1</v>
      </c>
      <c r="I393" s="3">
        <v>1800</v>
      </c>
      <c r="J393" s="3">
        <v>1800</v>
      </c>
      <c r="K393" s="3" t="s">
        <v>92</v>
      </c>
      <c r="L393" s="3" t="str">
        <f>_xlfn.XLOOKUP(K393,Employees!$A$2:$A$51,Employees!$B$2:$B$51)</f>
        <v>Rohit Mehta</v>
      </c>
      <c r="M393" s="3" t="str">
        <f>_xlfn.XLOOKUP(K393,Employees!$A$2:$A$51,Employees!$E$2:$E$51)</f>
        <v>Hydrabed</v>
      </c>
      <c r="N393" s="3" t="s">
        <v>45</v>
      </c>
      <c r="O393" s="3" t="s">
        <v>49</v>
      </c>
      <c r="P393" s="11"/>
    </row>
    <row r="394" spans="1:16" x14ac:dyDescent="0.25">
      <c r="A394" s="3" t="s">
        <v>1637</v>
      </c>
      <c r="B394" s="6">
        <v>46055</v>
      </c>
      <c r="C394" s="3" t="s">
        <v>1638</v>
      </c>
      <c r="D394" s="3" t="s">
        <v>1639</v>
      </c>
      <c r="E394" s="3" t="s">
        <v>158</v>
      </c>
      <c r="F394" s="3" t="s">
        <v>569</v>
      </c>
      <c r="G394" s="3" t="s">
        <v>38</v>
      </c>
      <c r="H394" s="3">
        <v>6</v>
      </c>
      <c r="I394" s="3">
        <v>250</v>
      </c>
      <c r="J394" s="3">
        <v>1500</v>
      </c>
      <c r="K394" s="3" t="s">
        <v>93</v>
      </c>
      <c r="L394" s="3" t="str">
        <f>_xlfn.XLOOKUP(K394,Employees!$A$2:$A$51,Employees!$B$2:$B$51)</f>
        <v>Aisha Khan</v>
      </c>
      <c r="M394" s="3" t="str">
        <f>_xlfn.XLOOKUP(K394,Employees!$A$2:$A$51,Employees!$E$2:$E$51)</f>
        <v>Delhi</v>
      </c>
      <c r="N394" s="3" t="s">
        <v>44</v>
      </c>
      <c r="O394" s="3" t="s">
        <v>46</v>
      </c>
      <c r="P394" s="11"/>
    </row>
    <row r="395" spans="1:16" x14ac:dyDescent="0.25">
      <c r="A395" s="3" t="s">
        <v>1640</v>
      </c>
      <c r="B395" s="6">
        <v>46056</v>
      </c>
      <c r="C395" s="3" t="s">
        <v>1641</v>
      </c>
      <c r="D395" s="3" t="s">
        <v>1642</v>
      </c>
      <c r="E395" s="3" t="s">
        <v>159</v>
      </c>
      <c r="F395" s="3" t="s">
        <v>572</v>
      </c>
      <c r="G395" s="3" t="s">
        <v>39</v>
      </c>
      <c r="H395" s="3">
        <v>2</v>
      </c>
      <c r="I395" s="3">
        <v>9000</v>
      </c>
      <c r="J395" s="3">
        <v>18000</v>
      </c>
      <c r="K395" s="3" t="s">
        <v>94</v>
      </c>
      <c r="L395" s="3" t="str">
        <f>_xlfn.XLOOKUP(K395,Employees!$A$2:$A$51,Employees!$B$2:$B$51)</f>
        <v>Vikram Iyer</v>
      </c>
      <c r="M395" s="3" t="str">
        <f>_xlfn.XLOOKUP(K395,Employees!$A$2:$A$51,Employees!$E$2:$E$51)</f>
        <v>Bangalore</v>
      </c>
      <c r="N395" s="3" t="s">
        <v>43</v>
      </c>
      <c r="O395" s="3" t="s">
        <v>47</v>
      </c>
      <c r="P395" s="11"/>
    </row>
    <row r="396" spans="1:16" x14ac:dyDescent="0.25">
      <c r="A396" s="3" t="s">
        <v>1643</v>
      </c>
      <c r="B396" s="6">
        <v>46057</v>
      </c>
      <c r="C396" s="3" t="s">
        <v>1644</v>
      </c>
      <c r="D396" s="3" t="s">
        <v>1645</v>
      </c>
      <c r="E396" s="3" t="s">
        <v>160</v>
      </c>
      <c r="F396" s="3" t="s">
        <v>575</v>
      </c>
      <c r="G396" s="3" t="s">
        <v>40</v>
      </c>
      <c r="H396" s="3">
        <v>4</v>
      </c>
      <c r="I396" s="3">
        <v>600</v>
      </c>
      <c r="J396" s="3">
        <v>2400</v>
      </c>
      <c r="K396" s="3" t="s">
        <v>101</v>
      </c>
      <c r="L396" s="3" t="str">
        <f>_xlfn.XLOOKUP(K396,Employees!$A$2:$A$51,Employees!$B$2:$B$51)</f>
        <v>Neha Gupta</v>
      </c>
      <c r="M396" s="3" t="str">
        <f>_xlfn.XLOOKUP(K396,Employees!$A$2:$A$51,Employees!$E$2:$E$51)</f>
        <v>Mumbai</v>
      </c>
      <c r="N396" s="3" t="s">
        <v>42</v>
      </c>
      <c r="O396" s="3" t="s">
        <v>46</v>
      </c>
      <c r="P396" s="11"/>
    </row>
    <row r="397" spans="1:16" x14ac:dyDescent="0.25">
      <c r="A397" s="3" t="s">
        <v>1646</v>
      </c>
      <c r="B397" s="6">
        <v>46058</v>
      </c>
      <c r="C397" s="3" t="s">
        <v>1647</v>
      </c>
      <c r="D397" s="3" t="s">
        <v>1648</v>
      </c>
      <c r="E397" s="3" t="s">
        <v>161</v>
      </c>
      <c r="F397" s="3" t="s">
        <v>578</v>
      </c>
      <c r="G397" s="3" t="s">
        <v>36</v>
      </c>
      <c r="H397" s="3">
        <v>3</v>
      </c>
      <c r="I397" s="3">
        <v>21000</v>
      </c>
      <c r="J397" s="3">
        <v>63000</v>
      </c>
      <c r="K397" s="3" t="s">
        <v>105</v>
      </c>
      <c r="L397" s="3" t="str">
        <f>_xlfn.XLOOKUP(K397,Employees!$A$2:$A$51,Employees!$B$2:$B$51)</f>
        <v>Harish Ramanan</v>
      </c>
      <c r="M397" s="3" t="str">
        <f>_xlfn.XLOOKUP(K397,Employees!$A$2:$A$51,Employees!$E$2:$E$51)</f>
        <v>Chennai</v>
      </c>
      <c r="N397" s="3" t="s">
        <v>45</v>
      </c>
      <c r="O397" s="3" t="s">
        <v>47</v>
      </c>
      <c r="P397" s="11"/>
    </row>
    <row r="398" spans="1:16" x14ac:dyDescent="0.25">
      <c r="A398" s="3" t="s">
        <v>1649</v>
      </c>
      <c r="B398" s="6">
        <v>46059</v>
      </c>
      <c r="C398" s="3" t="s">
        <v>1650</v>
      </c>
      <c r="D398" s="3" t="s">
        <v>1651</v>
      </c>
      <c r="E398" s="3" t="s">
        <v>162</v>
      </c>
      <c r="F398" s="3" t="s">
        <v>581</v>
      </c>
      <c r="G398" s="3" t="s">
        <v>37</v>
      </c>
      <c r="H398" s="3">
        <v>2</v>
      </c>
      <c r="I398" s="3">
        <v>2500</v>
      </c>
      <c r="J398" s="3">
        <v>5000</v>
      </c>
      <c r="K398" s="3" t="s">
        <v>106</v>
      </c>
      <c r="L398" s="3" t="str">
        <f>_xlfn.XLOOKUP(K398,Employees!$A$2:$A$51,Employees!$B$2:$B$51)</f>
        <v>Lakshmi Devi</v>
      </c>
      <c r="M398" s="3" t="str">
        <f>_xlfn.XLOOKUP(K398,Employees!$A$2:$A$51,Employees!$E$2:$E$51)</f>
        <v>Bangalore</v>
      </c>
      <c r="N398" s="3" t="s">
        <v>43</v>
      </c>
      <c r="O398" s="3" t="s">
        <v>49</v>
      </c>
      <c r="P398" s="11"/>
    </row>
    <row r="399" spans="1:16" x14ac:dyDescent="0.25">
      <c r="A399" s="3" t="s">
        <v>1652</v>
      </c>
      <c r="B399" s="6">
        <v>46060</v>
      </c>
      <c r="C399" s="3" t="s">
        <v>1653</v>
      </c>
      <c r="D399" s="3" t="s">
        <v>1654</v>
      </c>
      <c r="E399" s="3" t="s">
        <v>163</v>
      </c>
      <c r="F399" s="3" t="s">
        <v>584</v>
      </c>
      <c r="G399" s="3" t="s">
        <v>38</v>
      </c>
      <c r="H399" s="3">
        <v>8</v>
      </c>
      <c r="I399" s="3">
        <v>700</v>
      </c>
      <c r="J399" s="3">
        <v>5600</v>
      </c>
      <c r="K399" s="3" t="s">
        <v>107</v>
      </c>
      <c r="L399" s="3" t="str">
        <f>_xlfn.XLOOKUP(K399,Employees!$A$2:$A$51,Employees!$B$2:$B$51)</f>
        <v>Mohammed Ali</v>
      </c>
      <c r="M399" s="3" t="str">
        <f>_xlfn.XLOOKUP(K399,Employees!$A$2:$A$51,Employees!$E$2:$E$51)</f>
        <v>Hydrabed</v>
      </c>
      <c r="N399" s="3" t="s">
        <v>45</v>
      </c>
      <c r="O399" s="3" t="s">
        <v>49</v>
      </c>
      <c r="P399" s="11"/>
    </row>
    <row r="400" spans="1:16" x14ac:dyDescent="0.25">
      <c r="A400" s="3" t="s">
        <v>1655</v>
      </c>
      <c r="B400" s="6">
        <v>46061</v>
      </c>
      <c r="C400" s="3" t="s">
        <v>1656</v>
      </c>
      <c r="D400" s="3" t="s">
        <v>1657</v>
      </c>
      <c r="E400" s="3" t="s">
        <v>164</v>
      </c>
      <c r="F400" s="3" t="s">
        <v>587</v>
      </c>
      <c r="G400" s="3" t="s">
        <v>39</v>
      </c>
      <c r="H400" s="3">
        <v>1</v>
      </c>
      <c r="I400" s="3">
        <v>18000</v>
      </c>
      <c r="J400" s="3">
        <v>18000</v>
      </c>
      <c r="K400" s="3" t="s">
        <v>108</v>
      </c>
      <c r="L400" s="3" t="str">
        <f>_xlfn.XLOOKUP(K400,Employees!$A$2:$A$51,Employees!$B$2:$B$51)</f>
        <v>Kavya Srinivas</v>
      </c>
      <c r="M400" s="3" t="str">
        <f>_xlfn.XLOOKUP(K400,Employees!$A$2:$A$51,Employees!$E$2:$E$51)</f>
        <v>Delhi</v>
      </c>
      <c r="N400" s="3" t="s">
        <v>42</v>
      </c>
      <c r="O400" s="3" t="s">
        <v>48</v>
      </c>
      <c r="P400" s="11"/>
    </row>
    <row r="401" spans="1:16" x14ac:dyDescent="0.25">
      <c r="A401" s="3" t="s">
        <v>1658</v>
      </c>
      <c r="B401" s="6">
        <v>46062</v>
      </c>
      <c r="C401" s="3" t="s">
        <v>1659</v>
      </c>
      <c r="D401" s="3" t="s">
        <v>1660</v>
      </c>
      <c r="E401" s="3" t="s">
        <v>165</v>
      </c>
      <c r="F401" s="3" t="s">
        <v>590</v>
      </c>
      <c r="G401" s="3" t="s">
        <v>40</v>
      </c>
      <c r="H401" s="3">
        <v>5</v>
      </c>
      <c r="I401" s="3">
        <v>900</v>
      </c>
      <c r="J401" s="3">
        <v>4500</v>
      </c>
      <c r="K401" s="3" t="s">
        <v>109</v>
      </c>
      <c r="L401" s="3" t="str">
        <f>_xlfn.XLOOKUP(K401,Employees!$A$2:$A$51,Employees!$B$2:$B$51)</f>
        <v>Rakesh Sharma</v>
      </c>
      <c r="M401" s="3" t="str">
        <f>_xlfn.XLOOKUP(K401,Employees!$A$2:$A$51,Employees!$E$2:$E$51)</f>
        <v>Mumbai</v>
      </c>
      <c r="N401" s="3" t="s">
        <v>42</v>
      </c>
      <c r="O401" s="3" t="s">
        <v>47</v>
      </c>
      <c r="P401" s="11"/>
    </row>
    <row r="402" spans="1:16" x14ac:dyDescent="0.25">
      <c r="A402" s="3" t="s">
        <v>1661</v>
      </c>
      <c r="B402" s="6">
        <v>46063</v>
      </c>
      <c r="C402" s="3" t="s">
        <v>1662</v>
      </c>
      <c r="D402" s="3" t="s">
        <v>1663</v>
      </c>
      <c r="E402" s="3" t="s">
        <v>166</v>
      </c>
      <c r="F402" s="3" t="s">
        <v>593</v>
      </c>
      <c r="G402" s="3" t="s">
        <v>36</v>
      </c>
      <c r="H402" s="3">
        <v>3</v>
      </c>
      <c r="I402" s="3">
        <v>15000</v>
      </c>
      <c r="J402" s="3">
        <v>45000</v>
      </c>
      <c r="K402" s="3" t="s">
        <v>51</v>
      </c>
      <c r="L402" s="3" t="str">
        <f>_xlfn.XLOOKUP(K402,Employees!$A$2:$A$51,Employees!$B$2:$B$51)</f>
        <v>Arjun Kumar</v>
      </c>
      <c r="M402" s="3" t="str">
        <f>_xlfn.XLOOKUP(K402,Employees!$A$2:$A$51,Employees!$E$2:$E$51)</f>
        <v>Chennai</v>
      </c>
      <c r="N402" s="3" t="s">
        <v>41</v>
      </c>
      <c r="O402" s="3" t="s">
        <v>46</v>
      </c>
      <c r="P402" s="11"/>
    </row>
    <row r="403" spans="1:16" x14ac:dyDescent="0.25">
      <c r="A403" s="3" t="s">
        <v>1664</v>
      </c>
      <c r="B403" s="6">
        <v>46064</v>
      </c>
      <c r="C403" s="3" t="s">
        <v>1665</v>
      </c>
      <c r="D403" s="3" t="s">
        <v>1666</v>
      </c>
      <c r="E403" s="3" t="s">
        <v>167</v>
      </c>
      <c r="F403" s="3" t="s">
        <v>596</v>
      </c>
      <c r="G403" s="3" t="s">
        <v>37</v>
      </c>
      <c r="H403" s="3">
        <v>2</v>
      </c>
      <c r="I403" s="3">
        <v>3000</v>
      </c>
      <c r="J403" s="3">
        <v>6000</v>
      </c>
      <c r="K403" s="3" t="s">
        <v>52</v>
      </c>
      <c r="L403" s="3" t="str">
        <f>_xlfn.XLOOKUP(K403,Employees!$A$2:$A$51,Employees!$B$2:$B$51)</f>
        <v>Priya Sharma</v>
      </c>
      <c r="M403" s="3" t="str">
        <f>_xlfn.XLOOKUP(K403,Employees!$A$2:$A$51,Employees!$E$2:$E$51)</f>
        <v>Bangalore</v>
      </c>
      <c r="N403" s="3" t="s">
        <v>41</v>
      </c>
      <c r="O403" s="3" t="s">
        <v>47</v>
      </c>
      <c r="P403" s="11"/>
    </row>
    <row r="404" spans="1:16" x14ac:dyDescent="0.25">
      <c r="A404" s="3" t="s">
        <v>1667</v>
      </c>
      <c r="B404" s="6">
        <v>46065</v>
      </c>
      <c r="C404" s="3" t="s">
        <v>1668</v>
      </c>
      <c r="D404" s="3" t="s">
        <v>1669</v>
      </c>
      <c r="E404" s="3" t="s">
        <v>168</v>
      </c>
      <c r="F404" s="3" t="s">
        <v>599</v>
      </c>
      <c r="G404" s="3" t="s">
        <v>38</v>
      </c>
      <c r="H404" s="3">
        <v>7</v>
      </c>
      <c r="I404" s="3">
        <v>400</v>
      </c>
      <c r="J404" s="3">
        <v>2800</v>
      </c>
      <c r="K404" s="3" t="s">
        <v>53</v>
      </c>
      <c r="L404" s="3" t="str">
        <f>_xlfn.XLOOKUP(K404,Employees!$A$2:$A$51,Employees!$B$2:$B$51)</f>
        <v>Rahul Verma</v>
      </c>
      <c r="M404" s="3" t="str">
        <f>_xlfn.XLOOKUP(K404,Employees!$A$2:$A$51,Employees!$E$2:$E$51)</f>
        <v>Hydrabed</v>
      </c>
      <c r="N404" s="3" t="s">
        <v>43</v>
      </c>
      <c r="O404" s="3" t="s">
        <v>49</v>
      </c>
      <c r="P404" s="11"/>
    </row>
    <row r="405" spans="1:16" x14ac:dyDescent="0.25">
      <c r="A405" s="3" t="s">
        <v>1670</v>
      </c>
      <c r="B405" s="6">
        <v>46066</v>
      </c>
      <c r="C405" s="3" t="s">
        <v>1671</v>
      </c>
      <c r="D405" s="3" t="s">
        <v>1672</v>
      </c>
      <c r="E405" s="3" t="s">
        <v>169</v>
      </c>
      <c r="F405" s="3" t="s">
        <v>602</v>
      </c>
      <c r="G405" s="3" t="s">
        <v>39</v>
      </c>
      <c r="H405" s="3">
        <v>1</v>
      </c>
      <c r="I405" s="3">
        <v>11000</v>
      </c>
      <c r="J405" s="3">
        <v>11000</v>
      </c>
      <c r="K405" s="3" t="s">
        <v>54</v>
      </c>
      <c r="L405" s="3" t="str">
        <f>_xlfn.XLOOKUP(K405,Employees!$A$2:$A$51,Employees!$B$2:$B$51)</f>
        <v>Sneha Reddy</v>
      </c>
      <c r="M405" s="3" t="str">
        <f>_xlfn.XLOOKUP(K405,Employees!$A$2:$A$51,Employees!$E$2:$E$51)</f>
        <v>Chennai</v>
      </c>
      <c r="N405" s="3" t="s">
        <v>43</v>
      </c>
      <c r="O405" s="3" t="s">
        <v>46</v>
      </c>
      <c r="P405" s="11"/>
    </row>
    <row r="406" spans="1:16" x14ac:dyDescent="0.25">
      <c r="A406" s="3" t="s">
        <v>1673</v>
      </c>
      <c r="B406" s="6">
        <v>46067</v>
      </c>
      <c r="C406" s="3" t="s">
        <v>1674</v>
      </c>
      <c r="D406" s="3" t="s">
        <v>1675</v>
      </c>
      <c r="E406" s="3" t="s">
        <v>170</v>
      </c>
      <c r="F406" s="3" t="s">
        <v>605</v>
      </c>
      <c r="G406" s="3" t="s">
        <v>40</v>
      </c>
      <c r="H406" s="3">
        <v>4</v>
      </c>
      <c r="I406" s="3">
        <v>750</v>
      </c>
      <c r="J406" s="3">
        <v>3000</v>
      </c>
      <c r="K406" s="3" t="s">
        <v>55</v>
      </c>
      <c r="L406" s="3" t="str">
        <f>_xlfn.XLOOKUP(K406,Employees!$A$2:$A$51,Employees!$B$2:$B$51)</f>
        <v>Karthik Raj</v>
      </c>
      <c r="M406" s="3" t="str">
        <f>_xlfn.XLOOKUP(K406,Employees!$A$2:$A$51,Employees!$E$2:$E$51)</f>
        <v>Bangalore</v>
      </c>
      <c r="N406" s="3" t="s">
        <v>41</v>
      </c>
      <c r="O406" s="3" t="s">
        <v>47</v>
      </c>
      <c r="P406" s="11"/>
    </row>
    <row r="407" spans="1:16" x14ac:dyDescent="0.25">
      <c r="A407" s="3" t="s">
        <v>1676</v>
      </c>
      <c r="B407" s="6">
        <v>46068</v>
      </c>
      <c r="C407" s="3" t="s">
        <v>1677</v>
      </c>
      <c r="D407" s="3" t="s">
        <v>1678</v>
      </c>
      <c r="E407" s="3" t="s">
        <v>171</v>
      </c>
      <c r="F407" s="3" t="s">
        <v>608</v>
      </c>
      <c r="G407" s="3" t="s">
        <v>36</v>
      </c>
      <c r="H407" s="3">
        <v>2</v>
      </c>
      <c r="I407" s="3">
        <v>28000</v>
      </c>
      <c r="J407" s="3">
        <v>56000</v>
      </c>
      <c r="K407" s="3" t="s">
        <v>56</v>
      </c>
      <c r="L407" s="3" t="str">
        <f>_xlfn.XLOOKUP(K407,Employees!$A$2:$A$51,Employees!$B$2:$B$51)</f>
        <v xml:space="preserve">Divya Nair </v>
      </c>
      <c r="M407" s="3" t="str">
        <f>_xlfn.XLOOKUP(K407,Employees!$A$2:$A$51,Employees!$E$2:$E$51)</f>
        <v>Hydrabed</v>
      </c>
      <c r="N407" s="3" t="s">
        <v>42</v>
      </c>
      <c r="O407" s="3" t="s">
        <v>49</v>
      </c>
      <c r="P407" s="11"/>
    </row>
    <row r="408" spans="1:16" x14ac:dyDescent="0.25">
      <c r="A408" s="3" t="s">
        <v>1679</v>
      </c>
      <c r="B408" s="6">
        <v>46069</v>
      </c>
      <c r="C408" s="3" t="s">
        <v>1680</v>
      </c>
      <c r="D408" s="3" t="s">
        <v>1681</v>
      </c>
      <c r="E408" s="3" t="s">
        <v>172</v>
      </c>
      <c r="F408" s="3" t="s">
        <v>611</v>
      </c>
      <c r="G408" s="3" t="s">
        <v>37</v>
      </c>
      <c r="H408" s="3">
        <v>5</v>
      </c>
      <c r="I408" s="3">
        <v>1200</v>
      </c>
      <c r="J408" s="3">
        <v>6000</v>
      </c>
      <c r="K408" s="3" t="s">
        <v>57</v>
      </c>
      <c r="L408" s="3" t="str">
        <f>_xlfn.XLOOKUP(K408,Employees!$A$2:$A$51,Employees!$B$2:$B$51)</f>
        <v>Ajay Singh</v>
      </c>
      <c r="M408" s="3" t="str">
        <f>_xlfn.XLOOKUP(K408,Employees!$A$2:$A$51,Employees!$E$2:$E$51)</f>
        <v>Chennai</v>
      </c>
      <c r="N408" s="3" t="s">
        <v>41</v>
      </c>
      <c r="O408" s="3" t="s">
        <v>48</v>
      </c>
      <c r="P408" s="11"/>
    </row>
    <row r="409" spans="1:16" x14ac:dyDescent="0.25">
      <c r="A409" s="3" t="s">
        <v>1682</v>
      </c>
      <c r="B409" s="6">
        <v>46070</v>
      </c>
      <c r="C409" s="3" t="s">
        <v>1683</v>
      </c>
      <c r="D409" s="3" t="s">
        <v>1684</v>
      </c>
      <c r="E409" s="3" t="s">
        <v>173</v>
      </c>
      <c r="F409" s="3" t="s">
        <v>614</v>
      </c>
      <c r="G409" s="3" t="s">
        <v>38</v>
      </c>
      <c r="H409" s="3">
        <v>3</v>
      </c>
      <c r="I409" s="3">
        <v>900</v>
      </c>
      <c r="J409" s="3">
        <v>2700</v>
      </c>
      <c r="K409" s="3" t="s">
        <v>58</v>
      </c>
      <c r="L409" s="3" t="str">
        <f>_xlfn.XLOOKUP(K409,Employees!$A$2:$A$51,Employees!$B$2:$B$51)</f>
        <v>Meera Joshi</v>
      </c>
      <c r="M409" s="3" t="str">
        <f>_xlfn.XLOOKUP(K409,Employees!$A$2:$A$51,Employees!$E$2:$E$51)</f>
        <v>Mumbai</v>
      </c>
      <c r="N409" s="3" t="s">
        <v>42</v>
      </c>
      <c r="O409" s="3" t="s">
        <v>49</v>
      </c>
      <c r="P409" s="11"/>
    </row>
    <row r="410" spans="1:16" x14ac:dyDescent="0.25">
      <c r="A410" s="3" t="s">
        <v>1685</v>
      </c>
      <c r="B410" s="6">
        <v>46071</v>
      </c>
      <c r="C410" s="3" t="s">
        <v>1686</v>
      </c>
      <c r="D410" s="3" t="s">
        <v>1687</v>
      </c>
      <c r="E410" s="3" t="s">
        <v>174</v>
      </c>
      <c r="F410" s="3" t="s">
        <v>617</v>
      </c>
      <c r="G410" s="3" t="s">
        <v>39</v>
      </c>
      <c r="H410" s="3">
        <v>2</v>
      </c>
      <c r="I410" s="3">
        <v>13000</v>
      </c>
      <c r="J410" s="3">
        <v>26000</v>
      </c>
      <c r="K410" s="3" t="s">
        <v>59</v>
      </c>
      <c r="L410" s="3" t="str">
        <f>_xlfn.XLOOKUP(K410,Employees!$A$2:$A$51,Employees!$B$2:$B$51)</f>
        <v>Sanjay Kumar</v>
      </c>
      <c r="M410" s="3" t="str">
        <f>_xlfn.XLOOKUP(K410,Employees!$A$2:$A$51,Employees!$E$2:$E$51)</f>
        <v>Delhi</v>
      </c>
      <c r="N410" s="3" t="s">
        <v>42</v>
      </c>
      <c r="O410" s="3" t="s">
        <v>49</v>
      </c>
      <c r="P410" s="11"/>
    </row>
    <row r="411" spans="1:16" x14ac:dyDescent="0.25">
      <c r="A411" s="3" t="s">
        <v>1688</v>
      </c>
      <c r="B411" s="6">
        <v>46072</v>
      </c>
      <c r="C411" s="3" t="s">
        <v>1689</v>
      </c>
      <c r="D411" s="3" t="s">
        <v>1690</v>
      </c>
      <c r="E411" s="3" t="s">
        <v>175</v>
      </c>
      <c r="F411" s="3" t="s">
        <v>620</v>
      </c>
      <c r="G411" s="3" t="s">
        <v>40</v>
      </c>
      <c r="H411" s="3">
        <v>6</v>
      </c>
      <c r="I411" s="3">
        <v>500</v>
      </c>
      <c r="J411" s="3">
        <v>3000</v>
      </c>
      <c r="K411" s="3" t="s">
        <v>60</v>
      </c>
      <c r="L411" s="3" t="str">
        <f>_xlfn.XLOOKUP(K411,Employees!$A$2:$A$51,Employees!$B$2:$B$51)</f>
        <v>Pooja Patel</v>
      </c>
      <c r="M411" s="3" t="str">
        <f>_xlfn.XLOOKUP(K411,Employees!$A$2:$A$51,Employees!$E$2:$E$51)</f>
        <v>Bangalore</v>
      </c>
      <c r="N411" s="3" t="s">
        <v>41</v>
      </c>
      <c r="O411" s="3" t="s">
        <v>48</v>
      </c>
      <c r="P411" s="11"/>
    </row>
    <row r="412" spans="1:16" x14ac:dyDescent="0.25">
      <c r="A412" s="3" t="s">
        <v>1691</v>
      </c>
      <c r="B412" s="6">
        <v>46073</v>
      </c>
      <c r="C412" s="3" t="s">
        <v>1692</v>
      </c>
      <c r="D412" s="3" t="s">
        <v>1693</v>
      </c>
      <c r="E412" s="3" t="s">
        <v>119</v>
      </c>
      <c r="F412" s="3" t="s">
        <v>533</v>
      </c>
      <c r="G412" s="3" t="s">
        <v>36</v>
      </c>
      <c r="H412" s="3">
        <v>1</v>
      </c>
      <c r="I412" s="3">
        <v>25000</v>
      </c>
      <c r="J412" s="3">
        <v>25000</v>
      </c>
      <c r="K412" s="3" t="s">
        <v>91</v>
      </c>
      <c r="L412" s="3" t="str">
        <f>_xlfn.XLOOKUP(K412,Employees!$A$2:$A$51,Employees!$B$2:$B$51)</f>
        <v>Nithya Krishnan</v>
      </c>
      <c r="M412" s="3" t="str">
        <f>_xlfn.XLOOKUP(K412,Employees!$A$2:$A$51,Employees!$E$2:$E$51)</f>
        <v>Chennai</v>
      </c>
      <c r="N412" s="3" t="s">
        <v>43</v>
      </c>
      <c r="O412" s="3" t="s">
        <v>48</v>
      </c>
      <c r="P412" s="11"/>
    </row>
    <row r="413" spans="1:16" x14ac:dyDescent="0.25">
      <c r="A413" s="3" t="s">
        <v>1694</v>
      </c>
      <c r="B413" s="6">
        <v>46074</v>
      </c>
      <c r="C413" s="3" t="s">
        <v>1695</v>
      </c>
      <c r="D413" s="3" t="s">
        <v>1696</v>
      </c>
      <c r="E413" s="3" t="s">
        <v>120</v>
      </c>
      <c r="F413" s="3" t="s">
        <v>536</v>
      </c>
      <c r="G413" s="3" t="s">
        <v>37</v>
      </c>
      <c r="H413" s="3">
        <v>2</v>
      </c>
      <c r="I413" s="3">
        <v>1500</v>
      </c>
      <c r="J413" s="3">
        <v>3000</v>
      </c>
      <c r="K413" s="3" t="s">
        <v>92</v>
      </c>
      <c r="L413" s="3" t="str">
        <f>_xlfn.XLOOKUP(K413,Employees!$A$2:$A$51,Employees!$B$2:$B$51)</f>
        <v>Rohit Mehta</v>
      </c>
      <c r="M413" s="3" t="str">
        <f>_xlfn.XLOOKUP(K413,Employees!$A$2:$A$51,Employees!$E$2:$E$51)</f>
        <v>Hydrabed</v>
      </c>
      <c r="N413" s="3" t="s">
        <v>43</v>
      </c>
      <c r="O413" s="3" t="s">
        <v>47</v>
      </c>
      <c r="P413" s="11"/>
    </row>
    <row r="414" spans="1:16" x14ac:dyDescent="0.25">
      <c r="A414" s="3" t="s">
        <v>1697</v>
      </c>
      <c r="B414" s="6">
        <v>46075</v>
      </c>
      <c r="C414" s="3" t="s">
        <v>1698</v>
      </c>
      <c r="D414" s="3" t="s">
        <v>1699</v>
      </c>
      <c r="E414" s="3" t="s">
        <v>121</v>
      </c>
      <c r="F414" s="3" t="s">
        <v>539</v>
      </c>
      <c r="G414" s="3" t="s">
        <v>38</v>
      </c>
      <c r="H414" s="3">
        <v>10</v>
      </c>
      <c r="I414" s="3">
        <v>500</v>
      </c>
      <c r="J414" s="3">
        <v>5000</v>
      </c>
      <c r="K414" s="3" t="s">
        <v>93</v>
      </c>
      <c r="L414" s="3" t="str">
        <f>_xlfn.XLOOKUP(K414,Employees!$A$2:$A$51,Employees!$B$2:$B$51)</f>
        <v>Aisha Khan</v>
      </c>
      <c r="M414" s="3" t="str">
        <f>_xlfn.XLOOKUP(K414,Employees!$A$2:$A$51,Employees!$E$2:$E$51)</f>
        <v>Delhi</v>
      </c>
      <c r="N414" s="3" t="s">
        <v>42</v>
      </c>
      <c r="O414" s="3" t="s">
        <v>46</v>
      </c>
      <c r="P414" s="11"/>
    </row>
    <row r="415" spans="1:16" x14ac:dyDescent="0.25">
      <c r="A415" s="3" t="s">
        <v>1700</v>
      </c>
      <c r="B415" s="6">
        <v>46076</v>
      </c>
      <c r="C415" s="3" t="s">
        <v>1701</v>
      </c>
      <c r="D415" s="3" t="s">
        <v>1702</v>
      </c>
      <c r="E415" s="3" t="s">
        <v>122</v>
      </c>
      <c r="F415" s="3" t="s">
        <v>542</v>
      </c>
      <c r="G415" s="3" t="s">
        <v>39</v>
      </c>
      <c r="H415" s="3">
        <v>1</v>
      </c>
      <c r="I415" s="3">
        <v>12000</v>
      </c>
      <c r="J415" s="3">
        <v>12000</v>
      </c>
      <c r="K415" s="3" t="s">
        <v>94</v>
      </c>
      <c r="L415" s="3" t="str">
        <f>_xlfn.XLOOKUP(K415,Employees!$A$2:$A$51,Employees!$B$2:$B$51)</f>
        <v>Vikram Iyer</v>
      </c>
      <c r="M415" s="3" t="str">
        <f>_xlfn.XLOOKUP(K415,Employees!$A$2:$A$51,Employees!$E$2:$E$51)</f>
        <v>Bangalore</v>
      </c>
      <c r="N415" s="3" t="s">
        <v>45</v>
      </c>
      <c r="O415" s="3" t="s">
        <v>46</v>
      </c>
      <c r="P415" s="11"/>
    </row>
    <row r="416" spans="1:16" x14ac:dyDescent="0.25">
      <c r="A416" s="3" t="s">
        <v>1703</v>
      </c>
      <c r="B416" s="6">
        <v>46077</v>
      </c>
      <c r="C416" s="3" t="s">
        <v>1704</v>
      </c>
      <c r="D416" s="3" t="s">
        <v>1705</v>
      </c>
      <c r="E416" s="3" t="s">
        <v>123</v>
      </c>
      <c r="F416" s="3" t="s">
        <v>545</v>
      </c>
      <c r="G416" s="3" t="s">
        <v>40</v>
      </c>
      <c r="H416" s="3">
        <v>3</v>
      </c>
      <c r="I416" s="3">
        <v>800</v>
      </c>
      <c r="J416" s="3">
        <v>2400</v>
      </c>
      <c r="K416" s="3" t="s">
        <v>101</v>
      </c>
      <c r="L416" s="3" t="str">
        <f>_xlfn.XLOOKUP(K416,Employees!$A$2:$A$51,Employees!$B$2:$B$51)</f>
        <v>Neha Gupta</v>
      </c>
      <c r="M416" s="3" t="str">
        <f>_xlfn.XLOOKUP(K416,Employees!$A$2:$A$51,Employees!$E$2:$E$51)</f>
        <v>Mumbai</v>
      </c>
      <c r="N416" s="3" t="s">
        <v>42</v>
      </c>
      <c r="O416" s="3" t="s">
        <v>49</v>
      </c>
      <c r="P416" s="11"/>
    </row>
    <row r="417" spans="1:16" x14ac:dyDescent="0.25">
      <c r="A417" s="3" t="s">
        <v>1706</v>
      </c>
      <c r="B417" s="6">
        <v>46078</v>
      </c>
      <c r="C417" s="3" t="s">
        <v>1707</v>
      </c>
      <c r="D417" s="3" t="s">
        <v>1708</v>
      </c>
      <c r="E417" s="3" t="s">
        <v>124</v>
      </c>
      <c r="F417" s="3" t="s">
        <v>548</v>
      </c>
      <c r="G417" s="3" t="s">
        <v>36</v>
      </c>
      <c r="H417" s="3">
        <v>2</v>
      </c>
      <c r="I417" s="3">
        <v>18000</v>
      </c>
      <c r="J417" s="3">
        <v>36000</v>
      </c>
      <c r="K417" s="3" t="s">
        <v>105</v>
      </c>
      <c r="L417" s="3" t="str">
        <f>_xlfn.XLOOKUP(K417,Employees!$A$2:$A$51,Employees!$B$2:$B$51)</f>
        <v>Harish Ramanan</v>
      </c>
      <c r="M417" s="3" t="str">
        <f>_xlfn.XLOOKUP(K417,Employees!$A$2:$A$51,Employees!$E$2:$E$51)</f>
        <v>Chennai</v>
      </c>
      <c r="N417" s="3" t="s">
        <v>42</v>
      </c>
      <c r="O417" s="3" t="s">
        <v>46</v>
      </c>
      <c r="P417" s="11"/>
    </row>
    <row r="418" spans="1:16" x14ac:dyDescent="0.25">
      <c r="A418" s="3" t="s">
        <v>1709</v>
      </c>
      <c r="B418" s="6">
        <v>46079</v>
      </c>
      <c r="C418" s="3" t="s">
        <v>1710</v>
      </c>
      <c r="D418" s="3" t="s">
        <v>1711</v>
      </c>
      <c r="E418" s="3" t="s">
        <v>125</v>
      </c>
      <c r="F418" s="3" t="s">
        <v>551</v>
      </c>
      <c r="G418" s="3" t="s">
        <v>37</v>
      </c>
      <c r="H418" s="3">
        <v>4</v>
      </c>
      <c r="I418" s="3">
        <v>2200</v>
      </c>
      <c r="J418" s="3">
        <v>8800</v>
      </c>
      <c r="K418" s="3" t="s">
        <v>106</v>
      </c>
      <c r="L418" s="3" t="str">
        <f>_xlfn.XLOOKUP(K418,Employees!$A$2:$A$51,Employees!$B$2:$B$51)</f>
        <v>Lakshmi Devi</v>
      </c>
      <c r="M418" s="3" t="str">
        <f>_xlfn.XLOOKUP(K418,Employees!$A$2:$A$51,Employees!$E$2:$E$51)</f>
        <v>Bangalore</v>
      </c>
      <c r="N418" s="3" t="s">
        <v>43</v>
      </c>
      <c r="O418" s="3" t="s">
        <v>49</v>
      </c>
      <c r="P418" s="11"/>
    </row>
    <row r="419" spans="1:16" x14ac:dyDescent="0.25">
      <c r="A419" s="3" t="s">
        <v>1712</v>
      </c>
      <c r="B419" s="6">
        <v>46080</v>
      </c>
      <c r="C419" s="3" t="s">
        <v>1713</v>
      </c>
      <c r="D419" s="3" t="s">
        <v>1714</v>
      </c>
      <c r="E419" s="3" t="s">
        <v>126</v>
      </c>
      <c r="F419" s="3" t="s">
        <v>554</v>
      </c>
      <c r="G419" s="3" t="s">
        <v>38</v>
      </c>
      <c r="H419" s="3">
        <v>5</v>
      </c>
      <c r="I419" s="3">
        <v>300</v>
      </c>
      <c r="J419" s="3">
        <v>1500</v>
      </c>
      <c r="K419" s="3" t="s">
        <v>107</v>
      </c>
      <c r="L419" s="3" t="str">
        <f>_xlfn.XLOOKUP(K419,Employees!$A$2:$A$51,Employees!$B$2:$B$51)</f>
        <v>Mohammed Ali</v>
      </c>
      <c r="M419" s="3" t="str">
        <f>_xlfn.XLOOKUP(K419,Employees!$A$2:$A$51,Employees!$E$2:$E$51)</f>
        <v>Hydrabed</v>
      </c>
      <c r="N419" s="3" t="s">
        <v>43</v>
      </c>
      <c r="O419" s="3" t="s">
        <v>46</v>
      </c>
      <c r="P419" s="11"/>
    </row>
    <row r="420" spans="1:16" x14ac:dyDescent="0.25">
      <c r="A420" s="3" t="s">
        <v>1715</v>
      </c>
      <c r="B420" s="6">
        <v>46081</v>
      </c>
      <c r="C420" s="3" t="s">
        <v>1716</v>
      </c>
      <c r="D420" s="3" t="s">
        <v>1717</v>
      </c>
      <c r="E420" s="3" t="s">
        <v>127</v>
      </c>
      <c r="F420" s="3" t="s">
        <v>557</v>
      </c>
      <c r="G420" s="3" t="s">
        <v>39</v>
      </c>
      <c r="H420" s="3">
        <v>2</v>
      </c>
      <c r="I420" s="3">
        <v>15000</v>
      </c>
      <c r="J420" s="3">
        <v>30000</v>
      </c>
      <c r="K420" s="3" t="s">
        <v>108</v>
      </c>
      <c r="L420" s="3" t="str">
        <f>_xlfn.XLOOKUP(K420,Employees!$A$2:$A$51,Employees!$B$2:$B$51)</f>
        <v>Kavya Srinivas</v>
      </c>
      <c r="M420" s="3" t="str">
        <f>_xlfn.XLOOKUP(K420,Employees!$A$2:$A$51,Employees!$E$2:$E$51)</f>
        <v>Delhi</v>
      </c>
      <c r="N420" s="3" t="s">
        <v>43</v>
      </c>
      <c r="O420" s="3" t="s">
        <v>49</v>
      </c>
      <c r="P420" s="11"/>
    </row>
    <row r="421" spans="1:16" x14ac:dyDescent="0.25">
      <c r="A421" s="3" t="s">
        <v>1718</v>
      </c>
      <c r="B421" s="6">
        <v>46082</v>
      </c>
      <c r="C421" s="3" t="s">
        <v>1719</v>
      </c>
      <c r="D421" s="3" t="s">
        <v>1720</v>
      </c>
      <c r="E421" s="3" t="s">
        <v>128</v>
      </c>
      <c r="F421" s="3" t="s">
        <v>560</v>
      </c>
      <c r="G421" s="3" t="s">
        <v>40</v>
      </c>
      <c r="H421" s="3">
        <v>3</v>
      </c>
      <c r="I421" s="3">
        <v>1200</v>
      </c>
      <c r="J421" s="3">
        <v>3600</v>
      </c>
      <c r="K421" s="3" t="s">
        <v>109</v>
      </c>
      <c r="L421" s="3" t="str">
        <f>_xlfn.XLOOKUP(K421,Employees!$A$2:$A$51,Employees!$B$2:$B$51)</f>
        <v>Rakesh Sharma</v>
      </c>
      <c r="M421" s="3" t="str">
        <f>_xlfn.XLOOKUP(K421,Employees!$A$2:$A$51,Employees!$E$2:$E$51)</f>
        <v>Mumbai</v>
      </c>
      <c r="N421" s="3" t="s">
        <v>41</v>
      </c>
      <c r="O421" s="3" t="s">
        <v>48</v>
      </c>
      <c r="P421" s="11"/>
    </row>
    <row r="422" spans="1:16" x14ac:dyDescent="0.25">
      <c r="A422" s="3" t="s">
        <v>1721</v>
      </c>
      <c r="B422" s="6">
        <v>46083</v>
      </c>
      <c r="C422" s="3" t="s">
        <v>1722</v>
      </c>
      <c r="D422" s="3" t="s">
        <v>1723</v>
      </c>
      <c r="E422" s="3" t="s">
        <v>156</v>
      </c>
      <c r="F422" s="3" t="s">
        <v>563</v>
      </c>
      <c r="G422" s="3" t="s">
        <v>36</v>
      </c>
      <c r="H422" s="3">
        <v>2</v>
      </c>
      <c r="I422" s="3">
        <v>32000</v>
      </c>
      <c r="J422" s="3">
        <v>64000</v>
      </c>
      <c r="K422" s="3" t="s">
        <v>51</v>
      </c>
      <c r="L422" s="3" t="str">
        <f>_xlfn.XLOOKUP(K422,Employees!$A$2:$A$51,Employees!$B$2:$B$51)</f>
        <v>Arjun Kumar</v>
      </c>
      <c r="M422" s="3" t="str">
        <f>_xlfn.XLOOKUP(K422,Employees!$A$2:$A$51,Employees!$E$2:$E$51)</f>
        <v>Chennai</v>
      </c>
      <c r="N422" s="3" t="s">
        <v>43</v>
      </c>
      <c r="O422" s="3" t="s">
        <v>49</v>
      </c>
      <c r="P422" s="11"/>
    </row>
    <row r="423" spans="1:16" x14ac:dyDescent="0.25">
      <c r="A423" s="3" t="s">
        <v>1724</v>
      </c>
      <c r="B423" s="6">
        <v>46084</v>
      </c>
      <c r="C423" s="3" t="s">
        <v>1725</v>
      </c>
      <c r="D423" s="3" t="s">
        <v>1726</v>
      </c>
      <c r="E423" s="3" t="s">
        <v>157</v>
      </c>
      <c r="F423" s="3" t="s">
        <v>566</v>
      </c>
      <c r="G423" s="3" t="s">
        <v>37</v>
      </c>
      <c r="H423" s="3">
        <v>1</v>
      </c>
      <c r="I423" s="3">
        <v>1800</v>
      </c>
      <c r="J423" s="3">
        <v>1800</v>
      </c>
      <c r="K423" s="3" t="s">
        <v>52</v>
      </c>
      <c r="L423" s="3" t="str">
        <f>_xlfn.XLOOKUP(K423,Employees!$A$2:$A$51,Employees!$B$2:$B$51)</f>
        <v>Priya Sharma</v>
      </c>
      <c r="M423" s="3" t="str">
        <f>_xlfn.XLOOKUP(K423,Employees!$A$2:$A$51,Employees!$E$2:$E$51)</f>
        <v>Bangalore</v>
      </c>
      <c r="N423" s="3" t="s">
        <v>43</v>
      </c>
      <c r="O423" s="3" t="s">
        <v>46</v>
      </c>
      <c r="P423" s="11"/>
    </row>
    <row r="424" spans="1:16" x14ac:dyDescent="0.25">
      <c r="A424" s="3" t="s">
        <v>1727</v>
      </c>
      <c r="B424" s="6">
        <v>46085</v>
      </c>
      <c r="C424" s="3" t="s">
        <v>1728</v>
      </c>
      <c r="D424" s="3" t="s">
        <v>1729</v>
      </c>
      <c r="E424" s="3" t="s">
        <v>158</v>
      </c>
      <c r="F424" s="3" t="s">
        <v>569</v>
      </c>
      <c r="G424" s="3" t="s">
        <v>38</v>
      </c>
      <c r="H424" s="3">
        <v>6</v>
      </c>
      <c r="I424" s="3">
        <v>250</v>
      </c>
      <c r="J424" s="3">
        <v>1500</v>
      </c>
      <c r="K424" s="3" t="s">
        <v>53</v>
      </c>
      <c r="L424" s="3" t="str">
        <f>_xlfn.XLOOKUP(K424,Employees!$A$2:$A$51,Employees!$B$2:$B$51)</f>
        <v>Rahul Verma</v>
      </c>
      <c r="M424" s="3" t="str">
        <f>_xlfn.XLOOKUP(K424,Employees!$A$2:$A$51,Employees!$E$2:$E$51)</f>
        <v>Hydrabed</v>
      </c>
      <c r="N424" s="3" t="s">
        <v>41</v>
      </c>
      <c r="O424" s="3" t="s">
        <v>48</v>
      </c>
      <c r="P424" s="11"/>
    </row>
    <row r="425" spans="1:16" x14ac:dyDescent="0.25">
      <c r="A425" s="3" t="s">
        <v>1730</v>
      </c>
      <c r="B425" s="6">
        <v>46086</v>
      </c>
      <c r="C425" s="3" t="s">
        <v>1731</v>
      </c>
      <c r="D425" s="3" t="s">
        <v>1732</v>
      </c>
      <c r="E425" s="3" t="s">
        <v>159</v>
      </c>
      <c r="F425" s="3" t="s">
        <v>572</v>
      </c>
      <c r="G425" s="3" t="s">
        <v>39</v>
      </c>
      <c r="H425" s="3">
        <v>2</v>
      </c>
      <c r="I425" s="3">
        <v>9000</v>
      </c>
      <c r="J425" s="3">
        <v>18000</v>
      </c>
      <c r="K425" s="3" t="s">
        <v>54</v>
      </c>
      <c r="L425" s="3" t="str">
        <f>_xlfn.XLOOKUP(K425,Employees!$A$2:$A$51,Employees!$B$2:$B$51)</f>
        <v>Sneha Reddy</v>
      </c>
      <c r="M425" s="3" t="str">
        <f>_xlfn.XLOOKUP(K425,Employees!$A$2:$A$51,Employees!$E$2:$E$51)</f>
        <v>Chennai</v>
      </c>
      <c r="N425" s="3" t="s">
        <v>43</v>
      </c>
      <c r="O425" s="3" t="s">
        <v>47</v>
      </c>
      <c r="P425" s="11"/>
    </row>
    <row r="426" spans="1:16" x14ac:dyDescent="0.25">
      <c r="A426" s="3" t="s">
        <v>1733</v>
      </c>
      <c r="B426" s="6">
        <v>46087</v>
      </c>
      <c r="C426" s="3" t="s">
        <v>1734</v>
      </c>
      <c r="D426" s="3" t="s">
        <v>1735</v>
      </c>
      <c r="E426" s="3" t="s">
        <v>160</v>
      </c>
      <c r="F426" s="3" t="s">
        <v>575</v>
      </c>
      <c r="G426" s="3" t="s">
        <v>40</v>
      </c>
      <c r="H426" s="3">
        <v>4</v>
      </c>
      <c r="I426" s="3">
        <v>600</v>
      </c>
      <c r="J426" s="3">
        <v>2400</v>
      </c>
      <c r="K426" s="3" t="s">
        <v>55</v>
      </c>
      <c r="L426" s="3" t="str">
        <f>_xlfn.XLOOKUP(K426,Employees!$A$2:$A$51,Employees!$B$2:$B$51)</f>
        <v>Karthik Raj</v>
      </c>
      <c r="M426" s="3" t="str">
        <f>_xlfn.XLOOKUP(K426,Employees!$A$2:$A$51,Employees!$E$2:$E$51)</f>
        <v>Bangalore</v>
      </c>
      <c r="N426" s="3" t="s">
        <v>44</v>
      </c>
      <c r="O426" s="3" t="s">
        <v>47</v>
      </c>
      <c r="P426" s="11"/>
    </row>
    <row r="427" spans="1:16" x14ac:dyDescent="0.25">
      <c r="A427" s="3" t="s">
        <v>1736</v>
      </c>
      <c r="B427" s="6">
        <v>46088</v>
      </c>
      <c r="C427" s="3" t="s">
        <v>1737</v>
      </c>
      <c r="D427" s="3" t="s">
        <v>1738</v>
      </c>
      <c r="E427" s="3" t="s">
        <v>161</v>
      </c>
      <c r="F427" s="3" t="s">
        <v>578</v>
      </c>
      <c r="G427" s="3" t="s">
        <v>36</v>
      </c>
      <c r="H427" s="3">
        <v>3</v>
      </c>
      <c r="I427" s="3">
        <v>21000</v>
      </c>
      <c r="J427" s="3">
        <v>63000</v>
      </c>
      <c r="K427" s="3" t="s">
        <v>56</v>
      </c>
      <c r="L427" s="3" t="str">
        <f>_xlfn.XLOOKUP(K427,Employees!$A$2:$A$51,Employees!$B$2:$B$51)</f>
        <v xml:space="preserve">Divya Nair </v>
      </c>
      <c r="M427" s="3" t="str">
        <f>_xlfn.XLOOKUP(K427,Employees!$A$2:$A$51,Employees!$E$2:$E$51)</f>
        <v>Hydrabed</v>
      </c>
      <c r="N427" s="3" t="s">
        <v>42</v>
      </c>
      <c r="O427" s="3" t="s">
        <v>47</v>
      </c>
      <c r="P427" s="11"/>
    </row>
    <row r="428" spans="1:16" x14ac:dyDescent="0.25">
      <c r="A428" s="3" t="s">
        <v>1739</v>
      </c>
      <c r="B428" s="6">
        <v>46089</v>
      </c>
      <c r="C428" s="3" t="s">
        <v>1740</v>
      </c>
      <c r="D428" s="3" t="s">
        <v>1741</v>
      </c>
      <c r="E428" s="3" t="s">
        <v>162</v>
      </c>
      <c r="F428" s="3" t="s">
        <v>581</v>
      </c>
      <c r="G428" s="3" t="s">
        <v>37</v>
      </c>
      <c r="H428" s="3">
        <v>2</v>
      </c>
      <c r="I428" s="3">
        <v>2500</v>
      </c>
      <c r="J428" s="3">
        <v>5000</v>
      </c>
      <c r="K428" s="3" t="s">
        <v>57</v>
      </c>
      <c r="L428" s="3" t="str">
        <f>_xlfn.XLOOKUP(K428,Employees!$A$2:$A$51,Employees!$B$2:$B$51)</f>
        <v>Ajay Singh</v>
      </c>
      <c r="M428" s="3" t="str">
        <f>_xlfn.XLOOKUP(K428,Employees!$A$2:$A$51,Employees!$E$2:$E$51)</f>
        <v>Chennai</v>
      </c>
      <c r="N428" s="3" t="s">
        <v>45</v>
      </c>
      <c r="O428" s="3" t="s">
        <v>47</v>
      </c>
      <c r="P428" s="11"/>
    </row>
    <row r="429" spans="1:16" x14ac:dyDescent="0.25">
      <c r="A429" s="3" t="s">
        <v>1742</v>
      </c>
      <c r="B429" s="6">
        <v>46090</v>
      </c>
      <c r="C429" s="3" t="s">
        <v>1743</v>
      </c>
      <c r="D429" s="3" t="s">
        <v>1744</v>
      </c>
      <c r="E429" s="3" t="s">
        <v>163</v>
      </c>
      <c r="F429" s="3" t="s">
        <v>584</v>
      </c>
      <c r="G429" s="3" t="s">
        <v>38</v>
      </c>
      <c r="H429" s="3">
        <v>8</v>
      </c>
      <c r="I429" s="3">
        <v>700</v>
      </c>
      <c r="J429" s="3">
        <v>5600</v>
      </c>
      <c r="K429" s="3" t="s">
        <v>58</v>
      </c>
      <c r="L429" s="3" t="str">
        <f>_xlfn.XLOOKUP(K429,Employees!$A$2:$A$51,Employees!$B$2:$B$51)</f>
        <v>Meera Joshi</v>
      </c>
      <c r="M429" s="3" t="str">
        <f>_xlfn.XLOOKUP(K429,Employees!$A$2:$A$51,Employees!$E$2:$E$51)</f>
        <v>Mumbai</v>
      </c>
      <c r="N429" s="3" t="s">
        <v>44</v>
      </c>
      <c r="O429" s="3" t="s">
        <v>47</v>
      </c>
      <c r="P429" s="11"/>
    </row>
    <row r="430" spans="1:16" x14ac:dyDescent="0.25">
      <c r="A430" s="3" t="s">
        <v>1745</v>
      </c>
      <c r="B430" s="6">
        <v>46091</v>
      </c>
      <c r="C430" s="3" t="s">
        <v>1746</v>
      </c>
      <c r="D430" s="3" t="s">
        <v>1747</v>
      </c>
      <c r="E430" s="3" t="s">
        <v>164</v>
      </c>
      <c r="F430" s="3" t="s">
        <v>587</v>
      </c>
      <c r="G430" s="3" t="s">
        <v>39</v>
      </c>
      <c r="H430" s="3">
        <v>1</v>
      </c>
      <c r="I430" s="3">
        <v>18000</v>
      </c>
      <c r="J430" s="3">
        <v>18000</v>
      </c>
      <c r="K430" s="3" t="s">
        <v>59</v>
      </c>
      <c r="L430" s="3" t="str">
        <f>_xlfn.XLOOKUP(K430,Employees!$A$2:$A$51,Employees!$B$2:$B$51)</f>
        <v>Sanjay Kumar</v>
      </c>
      <c r="M430" s="3" t="str">
        <f>_xlfn.XLOOKUP(K430,Employees!$A$2:$A$51,Employees!$E$2:$E$51)</f>
        <v>Delhi</v>
      </c>
      <c r="N430" s="3" t="s">
        <v>45</v>
      </c>
      <c r="O430" s="3" t="s">
        <v>47</v>
      </c>
      <c r="P430" s="11"/>
    </row>
    <row r="431" spans="1:16" x14ac:dyDescent="0.25">
      <c r="A431" s="3" t="s">
        <v>1748</v>
      </c>
      <c r="B431" s="6">
        <v>46092</v>
      </c>
      <c r="C431" s="3" t="s">
        <v>1749</v>
      </c>
      <c r="D431" s="3" t="s">
        <v>1750</v>
      </c>
      <c r="E431" s="3" t="s">
        <v>165</v>
      </c>
      <c r="F431" s="3" t="s">
        <v>590</v>
      </c>
      <c r="G431" s="3" t="s">
        <v>40</v>
      </c>
      <c r="H431" s="3">
        <v>5</v>
      </c>
      <c r="I431" s="3">
        <v>900</v>
      </c>
      <c r="J431" s="3">
        <v>4500</v>
      </c>
      <c r="K431" s="3" t="s">
        <v>60</v>
      </c>
      <c r="L431" s="3" t="str">
        <f>_xlfn.XLOOKUP(K431,Employees!$A$2:$A$51,Employees!$B$2:$B$51)</f>
        <v>Pooja Patel</v>
      </c>
      <c r="M431" s="3" t="str">
        <f>_xlfn.XLOOKUP(K431,Employees!$A$2:$A$51,Employees!$E$2:$E$51)</f>
        <v>Bangalore</v>
      </c>
      <c r="N431" s="3" t="s">
        <v>42</v>
      </c>
      <c r="O431" s="3" t="s">
        <v>49</v>
      </c>
      <c r="P431" s="11"/>
    </row>
    <row r="432" spans="1:16" x14ac:dyDescent="0.25">
      <c r="A432" s="3" t="s">
        <v>1751</v>
      </c>
      <c r="B432" s="6">
        <v>46093</v>
      </c>
      <c r="C432" s="3" t="s">
        <v>1752</v>
      </c>
      <c r="D432" s="3" t="s">
        <v>1753</v>
      </c>
      <c r="E432" s="3" t="s">
        <v>166</v>
      </c>
      <c r="F432" s="3" t="s">
        <v>593</v>
      </c>
      <c r="G432" s="3" t="s">
        <v>36</v>
      </c>
      <c r="H432" s="3">
        <v>3</v>
      </c>
      <c r="I432" s="3">
        <v>15000</v>
      </c>
      <c r="J432" s="3">
        <v>45000</v>
      </c>
      <c r="K432" s="3" t="s">
        <v>91</v>
      </c>
      <c r="L432" s="3" t="str">
        <f>_xlfn.XLOOKUP(K432,Employees!$A$2:$A$51,Employees!$B$2:$B$51)</f>
        <v>Nithya Krishnan</v>
      </c>
      <c r="M432" s="3" t="str">
        <f>_xlfn.XLOOKUP(K432,Employees!$A$2:$A$51,Employees!$E$2:$E$51)</f>
        <v>Chennai</v>
      </c>
      <c r="N432" s="3" t="s">
        <v>43</v>
      </c>
      <c r="O432" s="3" t="s">
        <v>47</v>
      </c>
      <c r="P432" s="11"/>
    </row>
    <row r="433" spans="1:16" x14ac:dyDescent="0.25">
      <c r="A433" s="3" t="s">
        <v>1754</v>
      </c>
      <c r="B433" s="6">
        <v>46094</v>
      </c>
      <c r="C433" s="3" t="s">
        <v>1755</v>
      </c>
      <c r="D433" s="3" t="s">
        <v>1756</v>
      </c>
      <c r="E433" s="3" t="s">
        <v>167</v>
      </c>
      <c r="F433" s="3" t="s">
        <v>596</v>
      </c>
      <c r="G433" s="3" t="s">
        <v>37</v>
      </c>
      <c r="H433" s="3">
        <v>2</v>
      </c>
      <c r="I433" s="3">
        <v>3000</v>
      </c>
      <c r="J433" s="3">
        <v>6000</v>
      </c>
      <c r="K433" s="3" t="s">
        <v>92</v>
      </c>
      <c r="L433" s="3" t="str">
        <f>_xlfn.XLOOKUP(K433,Employees!$A$2:$A$51,Employees!$B$2:$B$51)</f>
        <v>Rohit Mehta</v>
      </c>
      <c r="M433" s="3" t="str">
        <f>_xlfn.XLOOKUP(K433,Employees!$A$2:$A$51,Employees!$E$2:$E$51)</f>
        <v>Hydrabed</v>
      </c>
      <c r="N433" s="3" t="s">
        <v>42</v>
      </c>
      <c r="O433" s="3" t="s">
        <v>49</v>
      </c>
      <c r="P433" s="11"/>
    </row>
    <row r="434" spans="1:16" x14ac:dyDescent="0.25">
      <c r="A434" s="3" t="s">
        <v>1757</v>
      </c>
      <c r="B434" s="6">
        <v>46095</v>
      </c>
      <c r="C434" s="3" t="s">
        <v>1758</v>
      </c>
      <c r="D434" s="3" t="s">
        <v>1759</v>
      </c>
      <c r="E434" s="3" t="s">
        <v>168</v>
      </c>
      <c r="F434" s="3" t="s">
        <v>599</v>
      </c>
      <c r="G434" s="3" t="s">
        <v>38</v>
      </c>
      <c r="H434" s="3">
        <v>7</v>
      </c>
      <c r="I434" s="3">
        <v>400</v>
      </c>
      <c r="J434" s="3">
        <v>2800</v>
      </c>
      <c r="K434" s="3" t="s">
        <v>93</v>
      </c>
      <c r="L434" s="3" t="str">
        <f>_xlfn.XLOOKUP(K434,Employees!$A$2:$A$51,Employees!$B$2:$B$51)</f>
        <v>Aisha Khan</v>
      </c>
      <c r="M434" s="3" t="str">
        <f>_xlfn.XLOOKUP(K434,Employees!$A$2:$A$51,Employees!$E$2:$E$51)</f>
        <v>Delhi</v>
      </c>
      <c r="N434" s="3" t="s">
        <v>43</v>
      </c>
      <c r="O434" s="3" t="s">
        <v>48</v>
      </c>
      <c r="P434" s="11"/>
    </row>
    <row r="435" spans="1:16" x14ac:dyDescent="0.25">
      <c r="A435" s="3" t="s">
        <v>1760</v>
      </c>
      <c r="B435" s="6">
        <v>46096</v>
      </c>
      <c r="C435" s="3" t="s">
        <v>1761</v>
      </c>
      <c r="D435" s="3" t="s">
        <v>1762</v>
      </c>
      <c r="E435" s="3" t="s">
        <v>169</v>
      </c>
      <c r="F435" s="3" t="s">
        <v>602</v>
      </c>
      <c r="G435" s="3" t="s">
        <v>39</v>
      </c>
      <c r="H435" s="3">
        <v>1</v>
      </c>
      <c r="I435" s="3">
        <v>11000</v>
      </c>
      <c r="J435" s="3">
        <v>11000</v>
      </c>
      <c r="K435" s="3" t="s">
        <v>94</v>
      </c>
      <c r="L435" s="3" t="str">
        <f>_xlfn.XLOOKUP(K435,Employees!$A$2:$A$51,Employees!$B$2:$B$51)</f>
        <v>Vikram Iyer</v>
      </c>
      <c r="M435" s="3" t="str">
        <f>_xlfn.XLOOKUP(K435,Employees!$A$2:$A$51,Employees!$E$2:$E$51)</f>
        <v>Bangalore</v>
      </c>
      <c r="N435" s="3" t="s">
        <v>43</v>
      </c>
      <c r="O435" s="3" t="s">
        <v>47</v>
      </c>
      <c r="P435" s="11"/>
    </row>
    <row r="436" spans="1:16" x14ac:dyDescent="0.25">
      <c r="A436" s="3" t="s">
        <v>1763</v>
      </c>
      <c r="B436" s="6">
        <v>46097</v>
      </c>
      <c r="C436" s="3" t="s">
        <v>1764</v>
      </c>
      <c r="D436" s="3" t="s">
        <v>1765</v>
      </c>
      <c r="E436" s="3" t="s">
        <v>170</v>
      </c>
      <c r="F436" s="3" t="s">
        <v>605</v>
      </c>
      <c r="G436" s="3" t="s">
        <v>40</v>
      </c>
      <c r="H436" s="3">
        <v>4</v>
      </c>
      <c r="I436" s="3">
        <v>750</v>
      </c>
      <c r="J436" s="3">
        <v>3000</v>
      </c>
      <c r="K436" s="3" t="s">
        <v>101</v>
      </c>
      <c r="L436" s="3" t="str">
        <f>_xlfn.XLOOKUP(K436,Employees!$A$2:$A$51,Employees!$B$2:$B$51)</f>
        <v>Neha Gupta</v>
      </c>
      <c r="M436" s="3" t="str">
        <f>_xlfn.XLOOKUP(K436,Employees!$A$2:$A$51,Employees!$E$2:$E$51)</f>
        <v>Mumbai</v>
      </c>
      <c r="N436" s="3" t="s">
        <v>43</v>
      </c>
      <c r="O436" s="3" t="s">
        <v>48</v>
      </c>
      <c r="P436" s="11"/>
    </row>
    <row r="437" spans="1:16" x14ac:dyDescent="0.25">
      <c r="A437" s="3" t="s">
        <v>1766</v>
      </c>
      <c r="B437" s="6">
        <v>46098</v>
      </c>
      <c r="C437" s="3" t="s">
        <v>1767</v>
      </c>
      <c r="D437" s="3" t="s">
        <v>1768</v>
      </c>
      <c r="E437" s="3" t="s">
        <v>171</v>
      </c>
      <c r="F437" s="3" t="s">
        <v>608</v>
      </c>
      <c r="G437" s="3" t="s">
        <v>36</v>
      </c>
      <c r="H437" s="3">
        <v>2</v>
      </c>
      <c r="I437" s="3">
        <v>28000</v>
      </c>
      <c r="J437" s="3">
        <v>56000</v>
      </c>
      <c r="K437" s="3" t="s">
        <v>105</v>
      </c>
      <c r="L437" s="3" t="str">
        <f>_xlfn.XLOOKUP(K437,Employees!$A$2:$A$51,Employees!$B$2:$B$51)</f>
        <v>Harish Ramanan</v>
      </c>
      <c r="M437" s="3" t="str">
        <f>_xlfn.XLOOKUP(K437,Employees!$A$2:$A$51,Employees!$E$2:$E$51)</f>
        <v>Chennai</v>
      </c>
      <c r="N437" s="3" t="s">
        <v>44</v>
      </c>
      <c r="O437" s="3" t="s">
        <v>48</v>
      </c>
      <c r="P437" s="11"/>
    </row>
    <row r="438" spans="1:16" x14ac:dyDescent="0.25">
      <c r="A438" s="3" t="s">
        <v>1769</v>
      </c>
      <c r="B438" s="6">
        <v>46099</v>
      </c>
      <c r="C438" s="3" t="s">
        <v>1770</v>
      </c>
      <c r="D438" s="3" t="s">
        <v>1771</v>
      </c>
      <c r="E438" s="3" t="s">
        <v>172</v>
      </c>
      <c r="F438" s="3" t="s">
        <v>611</v>
      </c>
      <c r="G438" s="3" t="s">
        <v>37</v>
      </c>
      <c r="H438" s="3">
        <v>5</v>
      </c>
      <c r="I438" s="3">
        <v>1200</v>
      </c>
      <c r="J438" s="3">
        <v>6000</v>
      </c>
      <c r="K438" s="3" t="s">
        <v>106</v>
      </c>
      <c r="L438" s="3" t="str">
        <f>_xlfn.XLOOKUP(K438,Employees!$A$2:$A$51,Employees!$B$2:$B$51)</f>
        <v>Lakshmi Devi</v>
      </c>
      <c r="M438" s="3" t="str">
        <f>_xlfn.XLOOKUP(K438,Employees!$A$2:$A$51,Employees!$E$2:$E$51)</f>
        <v>Bangalore</v>
      </c>
      <c r="N438" s="3" t="s">
        <v>44</v>
      </c>
      <c r="O438" s="3" t="s">
        <v>48</v>
      </c>
      <c r="P438" s="11"/>
    </row>
    <row r="439" spans="1:16" x14ac:dyDescent="0.25">
      <c r="A439" s="3" t="s">
        <v>1772</v>
      </c>
      <c r="B439" s="6">
        <v>46100</v>
      </c>
      <c r="C439" s="3" t="s">
        <v>1773</v>
      </c>
      <c r="D439" s="3" t="s">
        <v>1774</v>
      </c>
      <c r="E439" s="3" t="s">
        <v>173</v>
      </c>
      <c r="F439" s="3" t="s">
        <v>614</v>
      </c>
      <c r="G439" s="3" t="s">
        <v>38</v>
      </c>
      <c r="H439" s="3">
        <v>3</v>
      </c>
      <c r="I439" s="3">
        <v>900</v>
      </c>
      <c r="J439" s="3">
        <v>2700</v>
      </c>
      <c r="K439" s="3" t="s">
        <v>107</v>
      </c>
      <c r="L439" s="3" t="str">
        <f>_xlfn.XLOOKUP(K439,Employees!$A$2:$A$51,Employees!$B$2:$B$51)</f>
        <v>Mohammed Ali</v>
      </c>
      <c r="M439" s="3" t="str">
        <f>_xlfn.XLOOKUP(K439,Employees!$A$2:$A$51,Employees!$E$2:$E$51)</f>
        <v>Hydrabed</v>
      </c>
      <c r="N439" s="3" t="s">
        <v>45</v>
      </c>
      <c r="O439" s="3" t="s">
        <v>49</v>
      </c>
      <c r="P439" s="11"/>
    </row>
    <row r="440" spans="1:16" x14ac:dyDescent="0.25">
      <c r="A440" s="3" t="s">
        <v>1775</v>
      </c>
      <c r="B440" s="6">
        <v>46101</v>
      </c>
      <c r="C440" s="3" t="s">
        <v>1776</v>
      </c>
      <c r="D440" s="3" t="s">
        <v>1777</v>
      </c>
      <c r="E440" s="3" t="s">
        <v>174</v>
      </c>
      <c r="F440" s="3" t="s">
        <v>617</v>
      </c>
      <c r="G440" s="3" t="s">
        <v>39</v>
      </c>
      <c r="H440" s="3">
        <v>2</v>
      </c>
      <c r="I440" s="3">
        <v>13000</v>
      </c>
      <c r="J440" s="3">
        <v>26000</v>
      </c>
      <c r="K440" s="3" t="s">
        <v>108</v>
      </c>
      <c r="L440" s="3" t="str">
        <f>_xlfn.XLOOKUP(K440,Employees!$A$2:$A$51,Employees!$B$2:$B$51)</f>
        <v>Kavya Srinivas</v>
      </c>
      <c r="M440" s="3" t="str">
        <f>_xlfn.XLOOKUP(K440,Employees!$A$2:$A$51,Employees!$E$2:$E$51)</f>
        <v>Delhi</v>
      </c>
      <c r="N440" s="3" t="s">
        <v>41</v>
      </c>
      <c r="O440" s="3" t="s">
        <v>47</v>
      </c>
      <c r="P440" s="11"/>
    </row>
    <row r="441" spans="1:16" x14ac:dyDescent="0.25">
      <c r="A441" s="3" t="s">
        <v>1778</v>
      </c>
      <c r="B441" s="6">
        <v>46102</v>
      </c>
      <c r="C441" s="3" t="s">
        <v>1779</v>
      </c>
      <c r="D441" s="3" t="s">
        <v>1780</v>
      </c>
      <c r="E441" s="3" t="s">
        <v>175</v>
      </c>
      <c r="F441" s="3" t="s">
        <v>620</v>
      </c>
      <c r="G441" s="3" t="s">
        <v>40</v>
      </c>
      <c r="H441" s="3">
        <v>6</v>
      </c>
      <c r="I441" s="3">
        <v>500</v>
      </c>
      <c r="J441" s="3">
        <v>3000</v>
      </c>
      <c r="K441" s="3" t="s">
        <v>109</v>
      </c>
      <c r="L441" s="3" t="str">
        <f>_xlfn.XLOOKUP(K441,Employees!$A$2:$A$51,Employees!$B$2:$B$51)</f>
        <v>Rakesh Sharma</v>
      </c>
      <c r="M441" s="3" t="str">
        <f>_xlfn.XLOOKUP(K441,Employees!$A$2:$A$51,Employees!$E$2:$E$51)</f>
        <v>Mumbai</v>
      </c>
      <c r="N441" s="3" t="s">
        <v>43</v>
      </c>
      <c r="O441" s="3" t="s">
        <v>47</v>
      </c>
      <c r="P441" s="11"/>
    </row>
    <row r="442" spans="1:16" x14ac:dyDescent="0.25">
      <c r="A442" s="3" t="s">
        <v>1781</v>
      </c>
      <c r="B442" s="6">
        <v>46103</v>
      </c>
      <c r="C442" s="3" t="s">
        <v>1782</v>
      </c>
      <c r="D442" s="3" t="s">
        <v>1783</v>
      </c>
      <c r="E442" s="3" t="s">
        <v>119</v>
      </c>
      <c r="F442" s="3" t="s">
        <v>533</v>
      </c>
      <c r="G442" s="3" t="s">
        <v>36</v>
      </c>
      <c r="H442" s="3">
        <v>1</v>
      </c>
      <c r="I442" s="3">
        <v>25000</v>
      </c>
      <c r="J442" s="3">
        <v>25000</v>
      </c>
      <c r="K442" s="3" t="s">
        <v>51</v>
      </c>
      <c r="L442" s="3" t="str">
        <f>_xlfn.XLOOKUP(K442,Employees!$A$2:$A$51,Employees!$B$2:$B$51)</f>
        <v>Arjun Kumar</v>
      </c>
      <c r="M442" s="3" t="str">
        <f>_xlfn.XLOOKUP(K442,Employees!$A$2:$A$51,Employees!$E$2:$E$51)</f>
        <v>Chennai</v>
      </c>
      <c r="N442" s="3" t="s">
        <v>44</v>
      </c>
      <c r="O442" s="3" t="s">
        <v>48</v>
      </c>
      <c r="P442" s="11"/>
    </row>
    <row r="443" spans="1:16" x14ac:dyDescent="0.25">
      <c r="A443" s="3" t="s">
        <v>1784</v>
      </c>
      <c r="B443" s="6">
        <v>46104</v>
      </c>
      <c r="C443" s="3" t="s">
        <v>1785</v>
      </c>
      <c r="D443" s="3" t="s">
        <v>1786</v>
      </c>
      <c r="E443" s="3" t="s">
        <v>120</v>
      </c>
      <c r="F443" s="3" t="s">
        <v>536</v>
      </c>
      <c r="G443" s="3" t="s">
        <v>37</v>
      </c>
      <c r="H443" s="3">
        <v>2</v>
      </c>
      <c r="I443" s="3">
        <v>1500</v>
      </c>
      <c r="J443" s="3">
        <v>3000</v>
      </c>
      <c r="K443" s="3" t="s">
        <v>52</v>
      </c>
      <c r="L443" s="3" t="str">
        <f>_xlfn.XLOOKUP(K443,Employees!$A$2:$A$51,Employees!$B$2:$B$51)</f>
        <v>Priya Sharma</v>
      </c>
      <c r="M443" s="3" t="str">
        <f>_xlfn.XLOOKUP(K443,Employees!$A$2:$A$51,Employees!$E$2:$E$51)</f>
        <v>Bangalore</v>
      </c>
      <c r="N443" s="3" t="s">
        <v>41</v>
      </c>
      <c r="O443" s="3" t="s">
        <v>46</v>
      </c>
      <c r="P443" s="11"/>
    </row>
    <row r="444" spans="1:16" x14ac:dyDescent="0.25">
      <c r="A444" s="3" t="s">
        <v>1787</v>
      </c>
      <c r="B444" s="6">
        <v>46105</v>
      </c>
      <c r="C444" s="3" t="s">
        <v>1788</v>
      </c>
      <c r="D444" s="3" t="s">
        <v>1789</v>
      </c>
      <c r="E444" s="3" t="s">
        <v>121</v>
      </c>
      <c r="F444" s="3" t="s">
        <v>539</v>
      </c>
      <c r="G444" s="3" t="s">
        <v>38</v>
      </c>
      <c r="H444" s="3">
        <v>10</v>
      </c>
      <c r="I444" s="3">
        <v>500</v>
      </c>
      <c r="J444" s="3">
        <v>5000</v>
      </c>
      <c r="K444" s="3" t="s">
        <v>53</v>
      </c>
      <c r="L444" s="3" t="str">
        <f>_xlfn.XLOOKUP(K444,Employees!$A$2:$A$51,Employees!$B$2:$B$51)</f>
        <v>Rahul Verma</v>
      </c>
      <c r="M444" s="3" t="str">
        <f>_xlfn.XLOOKUP(K444,Employees!$A$2:$A$51,Employees!$E$2:$E$51)</f>
        <v>Hydrabed</v>
      </c>
      <c r="N444" s="3" t="s">
        <v>43</v>
      </c>
      <c r="O444" s="3" t="s">
        <v>47</v>
      </c>
      <c r="P444" s="11"/>
    </row>
    <row r="445" spans="1:16" x14ac:dyDescent="0.25">
      <c r="A445" s="3" t="s">
        <v>1790</v>
      </c>
      <c r="B445" s="6">
        <v>46106</v>
      </c>
      <c r="C445" s="3" t="s">
        <v>1791</v>
      </c>
      <c r="D445" s="3" t="s">
        <v>1792</v>
      </c>
      <c r="E445" s="3" t="s">
        <v>122</v>
      </c>
      <c r="F445" s="3" t="s">
        <v>542</v>
      </c>
      <c r="G445" s="3" t="s">
        <v>39</v>
      </c>
      <c r="H445" s="3">
        <v>1</v>
      </c>
      <c r="I445" s="3">
        <v>12000</v>
      </c>
      <c r="J445" s="3">
        <v>12000</v>
      </c>
      <c r="K445" s="3" t="s">
        <v>54</v>
      </c>
      <c r="L445" s="3" t="str">
        <f>_xlfn.XLOOKUP(K445,Employees!$A$2:$A$51,Employees!$B$2:$B$51)</f>
        <v>Sneha Reddy</v>
      </c>
      <c r="M445" s="3" t="str">
        <f>_xlfn.XLOOKUP(K445,Employees!$A$2:$A$51,Employees!$E$2:$E$51)</f>
        <v>Chennai</v>
      </c>
      <c r="N445" s="3" t="s">
        <v>41</v>
      </c>
      <c r="O445" s="3" t="s">
        <v>49</v>
      </c>
      <c r="P445" s="11"/>
    </row>
    <row r="446" spans="1:16" x14ac:dyDescent="0.25">
      <c r="A446" s="3" t="s">
        <v>1793</v>
      </c>
      <c r="B446" s="6">
        <v>46107</v>
      </c>
      <c r="C446" s="3" t="s">
        <v>1794</v>
      </c>
      <c r="D446" s="3" t="s">
        <v>1795</v>
      </c>
      <c r="E446" s="3" t="s">
        <v>123</v>
      </c>
      <c r="F446" s="3" t="s">
        <v>545</v>
      </c>
      <c r="G446" s="3" t="s">
        <v>40</v>
      </c>
      <c r="H446" s="3">
        <v>3</v>
      </c>
      <c r="I446" s="3">
        <v>800</v>
      </c>
      <c r="J446" s="3">
        <v>2400</v>
      </c>
      <c r="K446" s="3" t="s">
        <v>55</v>
      </c>
      <c r="L446" s="3" t="str">
        <f>_xlfn.XLOOKUP(K446,Employees!$A$2:$A$51,Employees!$B$2:$B$51)</f>
        <v>Karthik Raj</v>
      </c>
      <c r="M446" s="3" t="str">
        <f>_xlfn.XLOOKUP(K446,Employees!$A$2:$A$51,Employees!$E$2:$E$51)</f>
        <v>Bangalore</v>
      </c>
      <c r="N446" s="3" t="s">
        <v>42</v>
      </c>
      <c r="O446" s="3" t="s">
        <v>49</v>
      </c>
      <c r="P446" s="11"/>
    </row>
    <row r="447" spans="1:16" x14ac:dyDescent="0.25">
      <c r="A447" s="3" t="s">
        <v>1796</v>
      </c>
      <c r="B447" s="6">
        <v>46108</v>
      </c>
      <c r="C447" s="3" t="s">
        <v>1797</v>
      </c>
      <c r="D447" s="3" t="s">
        <v>1798</v>
      </c>
      <c r="E447" s="3" t="s">
        <v>124</v>
      </c>
      <c r="F447" s="3" t="s">
        <v>548</v>
      </c>
      <c r="G447" s="3" t="s">
        <v>36</v>
      </c>
      <c r="H447" s="3">
        <v>2</v>
      </c>
      <c r="I447" s="3">
        <v>18000</v>
      </c>
      <c r="J447" s="3">
        <v>36000</v>
      </c>
      <c r="K447" s="3" t="s">
        <v>56</v>
      </c>
      <c r="L447" s="3" t="str">
        <f>_xlfn.XLOOKUP(K447,Employees!$A$2:$A$51,Employees!$B$2:$B$51)</f>
        <v xml:space="preserve">Divya Nair </v>
      </c>
      <c r="M447" s="3" t="str">
        <f>_xlfn.XLOOKUP(K447,Employees!$A$2:$A$51,Employees!$E$2:$E$51)</f>
        <v>Hydrabed</v>
      </c>
      <c r="N447" s="3" t="s">
        <v>45</v>
      </c>
      <c r="O447" s="3" t="s">
        <v>46</v>
      </c>
      <c r="P447" s="11"/>
    </row>
    <row r="448" spans="1:16" x14ac:dyDescent="0.25">
      <c r="A448" s="3" t="s">
        <v>1799</v>
      </c>
      <c r="B448" s="6">
        <v>46109</v>
      </c>
      <c r="C448" s="3" t="s">
        <v>1800</v>
      </c>
      <c r="D448" s="3" t="s">
        <v>1801</v>
      </c>
      <c r="E448" s="3" t="s">
        <v>125</v>
      </c>
      <c r="F448" s="3" t="s">
        <v>551</v>
      </c>
      <c r="G448" s="3" t="s">
        <v>37</v>
      </c>
      <c r="H448" s="3">
        <v>4</v>
      </c>
      <c r="I448" s="3">
        <v>2200</v>
      </c>
      <c r="J448" s="3">
        <v>8800</v>
      </c>
      <c r="K448" s="3" t="s">
        <v>57</v>
      </c>
      <c r="L448" s="3" t="str">
        <f>_xlfn.XLOOKUP(K448,Employees!$A$2:$A$51,Employees!$B$2:$B$51)</f>
        <v>Ajay Singh</v>
      </c>
      <c r="M448" s="3" t="str">
        <f>_xlfn.XLOOKUP(K448,Employees!$A$2:$A$51,Employees!$E$2:$E$51)</f>
        <v>Chennai</v>
      </c>
      <c r="N448" s="3" t="s">
        <v>45</v>
      </c>
      <c r="O448" s="3" t="s">
        <v>46</v>
      </c>
      <c r="P448" s="11"/>
    </row>
    <row r="449" spans="1:16" x14ac:dyDescent="0.25">
      <c r="A449" s="3" t="s">
        <v>1802</v>
      </c>
      <c r="B449" s="6">
        <v>46110</v>
      </c>
      <c r="C449" s="3" t="s">
        <v>1803</v>
      </c>
      <c r="D449" s="3" t="s">
        <v>1804</v>
      </c>
      <c r="E449" s="3" t="s">
        <v>126</v>
      </c>
      <c r="F449" s="3" t="s">
        <v>554</v>
      </c>
      <c r="G449" s="3" t="s">
        <v>38</v>
      </c>
      <c r="H449" s="3">
        <v>5</v>
      </c>
      <c r="I449" s="3">
        <v>300</v>
      </c>
      <c r="J449" s="3">
        <v>1500</v>
      </c>
      <c r="K449" s="3" t="s">
        <v>58</v>
      </c>
      <c r="L449" s="3" t="str">
        <f>_xlfn.XLOOKUP(K449,Employees!$A$2:$A$51,Employees!$B$2:$B$51)</f>
        <v>Meera Joshi</v>
      </c>
      <c r="M449" s="3" t="str">
        <f>_xlfn.XLOOKUP(K449,Employees!$A$2:$A$51,Employees!$E$2:$E$51)</f>
        <v>Mumbai</v>
      </c>
      <c r="N449" s="3" t="s">
        <v>42</v>
      </c>
      <c r="O449" s="3" t="s">
        <v>46</v>
      </c>
      <c r="P449" s="11"/>
    </row>
    <row r="450" spans="1:16" x14ac:dyDescent="0.25">
      <c r="A450" s="3" t="s">
        <v>1805</v>
      </c>
      <c r="B450" s="6">
        <v>46111</v>
      </c>
      <c r="C450" s="3" t="s">
        <v>1806</v>
      </c>
      <c r="D450" s="3" t="s">
        <v>1807</v>
      </c>
      <c r="E450" s="3" t="s">
        <v>127</v>
      </c>
      <c r="F450" s="3" t="s">
        <v>557</v>
      </c>
      <c r="G450" s="3" t="s">
        <v>39</v>
      </c>
      <c r="H450" s="3">
        <v>2</v>
      </c>
      <c r="I450" s="3">
        <v>15000</v>
      </c>
      <c r="J450" s="3">
        <v>30000</v>
      </c>
      <c r="K450" s="3" t="s">
        <v>59</v>
      </c>
      <c r="L450" s="3" t="str">
        <f>_xlfn.XLOOKUP(K450,Employees!$A$2:$A$51,Employees!$B$2:$B$51)</f>
        <v>Sanjay Kumar</v>
      </c>
      <c r="M450" s="3" t="str">
        <f>_xlfn.XLOOKUP(K450,Employees!$A$2:$A$51,Employees!$E$2:$E$51)</f>
        <v>Delhi</v>
      </c>
      <c r="N450" s="3" t="s">
        <v>44</v>
      </c>
      <c r="O450" s="3" t="s">
        <v>49</v>
      </c>
      <c r="P450" s="11"/>
    </row>
    <row r="451" spans="1:16" x14ac:dyDescent="0.25">
      <c r="A451" s="3" t="s">
        <v>1808</v>
      </c>
      <c r="B451" s="6">
        <v>46112</v>
      </c>
      <c r="C451" s="3" t="s">
        <v>1809</v>
      </c>
      <c r="D451" s="3" t="s">
        <v>1810</v>
      </c>
      <c r="E451" s="3" t="s">
        <v>128</v>
      </c>
      <c r="F451" s="3" t="s">
        <v>560</v>
      </c>
      <c r="G451" s="3" t="s">
        <v>40</v>
      </c>
      <c r="H451" s="3">
        <v>3</v>
      </c>
      <c r="I451" s="3">
        <v>1200</v>
      </c>
      <c r="J451" s="3">
        <v>3600</v>
      </c>
      <c r="K451" s="3" t="s">
        <v>60</v>
      </c>
      <c r="L451" s="3" t="str">
        <f>_xlfn.XLOOKUP(K451,Employees!$A$2:$A$51,Employees!$B$2:$B$51)</f>
        <v>Pooja Patel</v>
      </c>
      <c r="M451" s="3" t="str">
        <f>_xlfn.XLOOKUP(K451,Employees!$A$2:$A$51,Employees!$E$2:$E$51)</f>
        <v>Bangalore</v>
      </c>
      <c r="N451" s="3" t="s">
        <v>44</v>
      </c>
      <c r="O451" s="3" t="s">
        <v>46</v>
      </c>
      <c r="P451" s="11"/>
    </row>
    <row r="452" spans="1:16" x14ac:dyDescent="0.25">
      <c r="A452" s="3" t="s">
        <v>1811</v>
      </c>
      <c r="B452" s="6">
        <v>46113</v>
      </c>
      <c r="C452" s="3" t="s">
        <v>1812</v>
      </c>
      <c r="D452" s="3" t="s">
        <v>1813</v>
      </c>
      <c r="E452" s="3" t="s">
        <v>156</v>
      </c>
      <c r="F452" s="3" t="s">
        <v>563</v>
      </c>
      <c r="G452" s="3" t="s">
        <v>36</v>
      </c>
      <c r="H452" s="3">
        <v>2</v>
      </c>
      <c r="I452" s="3">
        <v>32000</v>
      </c>
      <c r="J452" s="3">
        <v>64000</v>
      </c>
      <c r="K452" s="3" t="s">
        <v>91</v>
      </c>
      <c r="L452" s="3" t="str">
        <f>_xlfn.XLOOKUP(K452,Employees!$A$2:$A$51,Employees!$B$2:$B$51)</f>
        <v>Nithya Krishnan</v>
      </c>
      <c r="M452" s="3" t="str">
        <f>_xlfn.XLOOKUP(K452,Employees!$A$2:$A$51,Employees!$E$2:$E$51)</f>
        <v>Chennai</v>
      </c>
      <c r="N452" s="3" t="s">
        <v>41</v>
      </c>
      <c r="O452" s="3" t="s">
        <v>49</v>
      </c>
      <c r="P452" s="11"/>
    </row>
    <row r="453" spans="1:16" x14ac:dyDescent="0.25">
      <c r="A453" s="3" t="s">
        <v>1814</v>
      </c>
      <c r="B453" s="6">
        <v>46114</v>
      </c>
      <c r="C453" s="3" t="s">
        <v>1815</v>
      </c>
      <c r="D453" s="3" t="s">
        <v>1816</v>
      </c>
      <c r="E453" s="3" t="s">
        <v>157</v>
      </c>
      <c r="F453" s="3" t="s">
        <v>566</v>
      </c>
      <c r="G453" s="3" t="s">
        <v>37</v>
      </c>
      <c r="H453" s="3">
        <v>1</v>
      </c>
      <c r="I453" s="3">
        <v>1800</v>
      </c>
      <c r="J453" s="3">
        <v>1800</v>
      </c>
      <c r="K453" s="3" t="s">
        <v>92</v>
      </c>
      <c r="L453" s="3" t="str">
        <f>_xlfn.XLOOKUP(K453,Employees!$A$2:$A$51,Employees!$B$2:$B$51)</f>
        <v>Rohit Mehta</v>
      </c>
      <c r="M453" s="3" t="str">
        <f>_xlfn.XLOOKUP(K453,Employees!$A$2:$A$51,Employees!$E$2:$E$51)</f>
        <v>Hydrabed</v>
      </c>
      <c r="N453" s="3" t="s">
        <v>41</v>
      </c>
      <c r="O453" s="3" t="s">
        <v>48</v>
      </c>
      <c r="P453" s="11"/>
    </row>
    <row r="454" spans="1:16" x14ac:dyDescent="0.25">
      <c r="A454" s="3" t="s">
        <v>1817</v>
      </c>
      <c r="B454" s="6">
        <v>46115</v>
      </c>
      <c r="C454" s="3" t="s">
        <v>1818</v>
      </c>
      <c r="D454" s="3" t="s">
        <v>1819</v>
      </c>
      <c r="E454" s="3" t="s">
        <v>158</v>
      </c>
      <c r="F454" s="3" t="s">
        <v>569</v>
      </c>
      <c r="G454" s="3" t="s">
        <v>38</v>
      </c>
      <c r="H454" s="3">
        <v>6</v>
      </c>
      <c r="I454" s="3">
        <v>250</v>
      </c>
      <c r="J454" s="3">
        <v>1500</v>
      </c>
      <c r="K454" s="3" t="s">
        <v>93</v>
      </c>
      <c r="L454" s="3" t="str">
        <f>_xlfn.XLOOKUP(K454,Employees!$A$2:$A$51,Employees!$B$2:$B$51)</f>
        <v>Aisha Khan</v>
      </c>
      <c r="M454" s="3" t="str">
        <f>_xlfn.XLOOKUP(K454,Employees!$A$2:$A$51,Employees!$E$2:$E$51)</f>
        <v>Delhi</v>
      </c>
      <c r="N454" s="3" t="s">
        <v>42</v>
      </c>
      <c r="O454" s="3" t="s">
        <v>47</v>
      </c>
      <c r="P454" s="11"/>
    </row>
    <row r="455" spans="1:16" x14ac:dyDescent="0.25">
      <c r="A455" s="3" t="s">
        <v>1820</v>
      </c>
      <c r="B455" s="6">
        <v>46116</v>
      </c>
      <c r="C455" s="3" t="s">
        <v>1821</v>
      </c>
      <c r="D455" s="3" t="s">
        <v>1822</v>
      </c>
      <c r="E455" s="3" t="s">
        <v>159</v>
      </c>
      <c r="F455" s="3" t="s">
        <v>572</v>
      </c>
      <c r="G455" s="3" t="s">
        <v>39</v>
      </c>
      <c r="H455" s="3">
        <v>2</v>
      </c>
      <c r="I455" s="3">
        <v>9000</v>
      </c>
      <c r="J455" s="3">
        <v>18000</v>
      </c>
      <c r="K455" s="3" t="s">
        <v>94</v>
      </c>
      <c r="L455" s="3" t="str">
        <f>_xlfn.XLOOKUP(K455,Employees!$A$2:$A$51,Employees!$B$2:$B$51)</f>
        <v>Vikram Iyer</v>
      </c>
      <c r="M455" s="3" t="str">
        <f>_xlfn.XLOOKUP(K455,Employees!$A$2:$A$51,Employees!$E$2:$E$51)</f>
        <v>Bangalore</v>
      </c>
      <c r="N455" s="3" t="s">
        <v>44</v>
      </c>
      <c r="O455" s="3" t="s">
        <v>46</v>
      </c>
      <c r="P455" s="11"/>
    </row>
    <row r="456" spans="1:16" x14ac:dyDescent="0.25">
      <c r="A456" s="3" t="s">
        <v>1823</v>
      </c>
      <c r="B456" s="6">
        <v>46117</v>
      </c>
      <c r="C456" s="3" t="s">
        <v>1824</v>
      </c>
      <c r="D456" s="3" t="s">
        <v>1825</v>
      </c>
      <c r="E456" s="3" t="s">
        <v>160</v>
      </c>
      <c r="F456" s="3" t="s">
        <v>575</v>
      </c>
      <c r="G456" s="3" t="s">
        <v>40</v>
      </c>
      <c r="H456" s="3">
        <v>4</v>
      </c>
      <c r="I456" s="3">
        <v>600</v>
      </c>
      <c r="J456" s="3">
        <v>2400</v>
      </c>
      <c r="K456" s="3" t="s">
        <v>101</v>
      </c>
      <c r="L456" s="3" t="str">
        <f>_xlfn.XLOOKUP(K456,Employees!$A$2:$A$51,Employees!$B$2:$B$51)</f>
        <v>Neha Gupta</v>
      </c>
      <c r="M456" s="3" t="str">
        <f>_xlfn.XLOOKUP(K456,Employees!$A$2:$A$51,Employees!$E$2:$E$51)</f>
        <v>Mumbai</v>
      </c>
      <c r="N456" s="3" t="s">
        <v>42</v>
      </c>
      <c r="O456" s="3" t="s">
        <v>49</v>
      </c>
      <c r="P456" s="11"/>
    </row>
    <row r="457" spans="1:16" x14ac:dyDescent="0.25">
      <c r="A457" s="3" t="s">
        <v>1826</v>
      </c>
      <c r="B457" s="6">
        <v>46118</v>
      </c>
      <c r="C457" s="3" t="s">
        <v>1827</v>
      </c>
      <c r="D457" s="3" t="s">
        <v>1828</v>
      </c>
      <c r="E457" s="3" t="s">
        <v>161</v>
      </c>
      <c r="F457" s="3" t="s">
        <v>578</v>
      </c>
      <c r="G457" s="3" t="s">
        <v>36</v>
      </c>
      <c r="H457" s="3">
        <v>3</v>
      </c>
      <c r="I457" s="3">
        <v>21000</v>
      </c>
      <c r="J457" s="3">
        <v>63000</v>
      </c>
      <c r="K457" s="3" t="s">
        <v>105</v>
      </c>
      <c r="L457" s="3" t="str">
        <f>_xlfn.XLOOKUP(K457,Employees!$A$2:$A$51,Employees!$B$2:$B$51)</f>
        <v>Harish Ramanan</v>
      </c>
      <c r="M457" s="3" t="str">
        <f>_xlfn.XLOOKUP(K457,Employees!$A$2:$A$51,Employees!$E$2:$E$51)</f>
        <v>Chennai</v>
      </c>
      <c r="N457" s="3" t="s">
        <v>42</v>
      </c>
      <c r="O457" s="3" t="s">
        <v>46</v>
      </c>
      <c r="P457" s="11"/>
    </row>
    <row r="458" spans="1:16" x14ac:dyDescent="0.25">
      <c r="A458" s="3" t="s">
        <v>1829</v>
      </c>
      <c r="B458" s="6">
        <v>46119</v>
      </c>
      <c r="C458" s="3" t="s">
        <v>1830</v>
      </c>
      <c r="D458" s="3" t="s">
        <v>1831</v>
      </c>
      <c r="E458" s="3" t="s">
        <v>162</v>
      </c>
      <c r="F458" s="3" t="s">
        <v>581</v>
      </c>
      <c r="G458" s="3" t="s">
        <v>37</v>
      </c>
      <c r="H458" s="3">
        <v>2</v>
      </c>
      <c r="I458" s="3">
        <v>2500</v>
      </c>
      <c r="J458" s="3">
        <v>5000</v>
      </c>
      <c r="K458" s="3" t="s">
        <v>106</v>
      </c>
      <c r="L458" s="3" t="str">
        <f>_xlfn.XLOOKUP(K458,Employees!$A$2:$A$51,Employees!$B$2:$B$51)</f>
        <v>Lakshmi Devi</v>
      </c>
      <c r="M458" s="3" t="str">
        <f>_xlfn.XLOOKUP(K458,Employees!$A$2:$A$51,Employees!$E$2:$E$51)</f>
        <v>Bangalore</v>
      </c>
      <c r="N458" s="3" t="s">
        <v>42</v>
      </c>
      <c r="O458" s="3" t="s">
        <v>48</v>
      </c>
      <c r="P458" s="11"/>
    </row>
    <row r="459" spans="1:16" x14ac:dyDescent="0.25">
      <c r="A459" s="3" t="s">
        <v>1832</v>
      </c>
      <c r="B459" s="6">
        <v>46120</v>
      </c>
      <c r="C459" s="3" t="s">
        <v>1833</v>
      </c>
      <c r="D459" s="3" t="s">
        <v>1834</v>
      </c>
      <c r="E459" s="3" t="s">
        <v>163</v>
      </c>
      <c r="F459" s="3" t="s">
        <v>584</v>
      </c>
      <c r="G459" s="3" t="s">
        <v>38</v>
      </c>
      <c r="H459" s="3">
        <v>8</v>
      </c>
      <c r="I459" s="3">
        <v>700</v>
      </c>
      <c r="J459" s="3">
        <v>5600</v>
      </c>
      <c r="K459" s="3" t="s">
        <v>107</v>
      </c>
      <c r="L459" s="3" t="str">
        <f>_xlfn.XLOOKUP(K459,Employees!$A$2:$A$51,Employees!$B$2:$B$51)</f>
        <v>Mohammed Ali</v>
      </c>
      <c r="M459" s="3" t="str">
        <f>_xlfn.XLOOKUP(K459,Employees!$A$2:$A$51,Employees!$E$2:$E$51)</f>
        <v>Hydrabed</v>
      </c>
      <c r="N459" s="3" t="s">
        <v>43</v>
      </c>
      <c r="O459" s="3" t="s">
        <v>49</v>
      </c>
      <c r="P459" s="11"/>
    </row>
    <row r="460" spans="1:16" x14ac:dyDescent="0.25">
      <c r="A460" s="3" t="s">
        <v>1835</v>
      </c>
      <c r="B460" s="6">
        <v>46121</v>
      </c>
      <c r="C460" s="3" t="s">
        <v>1836</v>
      </c>
      <c r="D460" s="3" t="s">
        <v>1837</v>
      </c>
      <c r="E460" s="3" t="s">
        <v>164</v>
      </c>
      <c r="F460" s="3" t="s">
        <v>587</v>
      </c>
      <c r="G460" s="3" t="s">
        <v>39</v>
      </c>
      <c r="H460" s="3">
        <v>1</v>
      </c>
      <c r="I460" s="3">
        <v>18000</v>
      </c>
      <c r="J460" s="3">
        <v>18000</v>
      </c>
      <c r="K460" s="3" t="s">
        <v>108</v>
      </c>
      <c r="L460" s="3" t="str">
        <f>_xlfn.XLOOKUP(K460,Employees!$A$2:$A$51,Employees!$B$2:$B$51)</f>
        <v>Kavya Srinivas</v>
      </c>
      <c r="M460" s="3" t="str">
        <f>_xlfn.XLOOKUP(K460,Employees!$A$2:$A$51,Employees!$E$2:$E$51)</f>
        <v>Delhi</v>
      </c>
      <c r="N460" s="3" t="s">
        <v>44</v>
      </c>
      <c r="O460" s="3" t="s">
        <v>49</v>
      </c>
      <c r="P460" s="11"/>
    </row>
    <row r="461" spans="1:16" x14ac:dyDescent="0.25">
      <c r="A461" s="3" t="s">
        <v>1838</v>
      </c>
      <c r="B461" s="6">
        <v>46122</v>
      </c>
      <c r="C461" s="3" t="s">
        <v>1839</v>
      </c>
      <c r="D461" s="3" t="s">
        <v>1840</v>
      </c>
      <c r="E461" s="3" t="s">
        <v>165</v>
      </c>
      <c r="F461" s="3" t="s">
        <v>590</v>
      </c>
      <c r="G461" s="3" t="s">
        <v>40</v>
      </c>
      <c r="H461" s="3">
        <v>5</v>
      </c>
      <c r="I461" s="3">
        <v>900</v>
      </c>
      <c r="J461" s="3">
        <v>4500</v>
      </c>
      <c r="K461" s="3" t="s">
        <v>109</v>
      </c>
      <c r="L461" s="3" t="str">
        <f>_xlfn.XLOOKUP(K461,Employees!$A$2:$A$51,Employees!$B$2:$B$51)</f>
        <v>Rakesh Sharma</v>
      </c>
      <c r="M461" s="3" t="str">
        <f>_xlfn.XLOOKUP(K461,Employees!$A$2:$A$51,Employees!$E$2:$E$51)</f>
        <v>Mumbai</v>
      </c>
      <c r="N461" s="3" t="s">
        <v>42</v>
      </c>
      <c r="O461" s="3" t="s">
        <v>46</v>
      </c>
      <c r="P461" s="11"/>
    </row>
    <row r="462" spans="1:16" x14ac:dyDescent="0.25">
      <c r="A462" s="3" t="s">
        <v>1841</v>
      </c>
      <c r="B462" s="6">
        <v>46123</v>
      </c>
      <c r="C462" s="3" t="s">
        <v>1842</v>
      </c>
      <c r="D462" s="3" t="s">
        <v>1843</v>
      </c>
      <c r="E462" s="3" t="s">
        <v>166</v>
      </c>
      <c r="F462" s="3" t="s">
        <v>593</v>
      </c>
      <c r="G462" s="3" t="s">
        <v>36</v>
      </c>
      <c r="H462" s="3">
        <v>3</v>
      </c>
      <c r="I462" s="3">
        <v>15000</v>
      </c>
      <c r="J462" s="3">
        <v>45000</v>
      </c>
      <c r="K462" s="3" t="s">
        <v>51</v>
      </c>
      <c r="L462" s="3" t="str">
        <f>_xlfn.XLOOKUP(K462,Employees!$A$2:$A$51,Employees!$B$2:$B$51)</f>
        <v>Arjun Kumar</v>
      </c>
      <c r="M462" s="3" t="str">
        <f>_xlfn.XLOOKUP(K462,Employees!$A$2:$A$51,Employees!$E$2:$E$51)</f>
        <v>Chennai</v>
      </c>
      <c r="N462" s="3" t="s">
        <v>43</v>
      </c>
      <c r="O462" s="3" t="s">
        <v>46</v>
      </c>
      <c r="P462" s="11"/>
    </row>
    <row r="463" spans="1:16" x14ac:dyDescent="0.25">
      <c r="A463" s="3" t="s">
        <v>1844</v>
      </c>
      <c r="B463" s="6">
        <v>46124</v>
      </c>
      <c r="C463" s="3" t="s">
        <v>1845</v>
      </c>
      <c r="D463" s="3" t="s">
        <v>1846</v>
      </c>
      <c r="E463" s="3" t="s">
        <v>167</v>
      </c>
      <c r="F463" s="3" t="s">
        <v>596</v>
      </c>
      <c r="G463" s="3" t="s">
        <v>37</v>
      </c>
      <c r="H463" s="3">
        <v>2</v>
      </c>
      <c r="I463" s="3">
        <v>3000</v>
      </c>
      <c r="J463" s="3">
        <v>6000</v>
      </c>
      <c r="K463" s="3" t="s">
        <v>52</v>
      </c>
      <c r="L463" s="3" t="str">
        <f>_xlfn.XLOOKUP(K463,Employees!$A$2:$A$51,Employees!$B$2:$B$51)</f>
        <v>Priya Sharma</v>
      </c>
      <c r="M463" s="3" t="str">
        <f>_xlfn.XLOOKUP(K463,Employees!$A$2:$A$51,Employees!$E$2:$E$51)</f>
        <v>Bangalore</v>
      </c>
      <c r="N463" s="3" t="s">
        <v>43</v>
      </c>
      <c r="O463" s="3" t="s">
        <v>46</v>
      </c>
      <c r="P463" s="11"/>
    </row>
    <row r="464" spans="1:16" x14ac:dyDescent="0.25">
      <c r="A464" s="3" t="s">
        <v>1847</v>
      </c>
      <c r="B464" s="6">
        <v>46125</v>
      </c>
      <c r="C464" s="3" t="s">
        <v>1848</v>
      </c>
      <c r="D464" s="3" t="s">
        <v>1849</v>
      </c>
      <c r="E464" s="3" t="s">
        <v>168</v>
      </c>
      <c r="F464" s="3" t="s">
        <v>599</v>
      </c>
      <c r="G464" s="3" t="s">
        <v>38</v>
      </c>
      <c r="H464" s="3">
        <v>7</v>
      </c>
      <c r="I464" s="3">
        <v>400</v>
      </c>
      <c r="J464" s="3">
        <v>2800</v>
      </c>
      <c r="K464" s="3" t="s">
        <v>53</v>
      </c>
      <c r="L464" s="3" t="str">
        <f>_xlfn.XLOOKUP(K464,Employees!$A$2:$A$51,Employees!$B$2:$B$51)</f>
        <v>Rahul Verma</v>
      </c>
      <c r="M464" s="3" t="str">
        <f>_xlfn.XLOOKUP(K464,Employees!$A$2:$A$51,Employees!$E$2:$E$51)</f>
        <v>Hydrabed</v>
      </c>
      <c r="N464" s="3" t="s">
        <v>42</v>
      </c>
      <c r="O464" s="3" t="s">
        <v>49</v>
      </c>
      <c r="P464" s="11"/>
    </row>
    <row r="465" spans="1:19" x14ac:dyDescent="0.25">
      <c r="A465" s="3" t="s">
        <v>1850</v>
      </c>
      <c r="B465" s="6">
        <v>46126</v>
      </c>
      <c r="C465" s="3" t="s">
        <v>1851</v>
      </c>
      <c r="D465" s="3" t="s">
        <v>1852</v>
      </c>
      <c r="E465" s="3" t="s">
        <v>169</v>
      </c>
      <c r="F465" s="3" t="s">
        <v>602</v>
      </c>
      <c r="G465" s="3" t="s">
        <v>39</v>
      </c>
      <c r="H465" s="3">
        <v>1</v>
      </c>
      <c r="I465" s="3">
        <v>11000</v>
      </c>
      <c r="J465" s="3">
        <v>11000</v>
      </c>
      <c r="K465" s="3" t="s">
        <v>54</v>
      </c>
      <c r="L465" s="3" t="str">
        <f>_xlfn.XLOOKUP(K465,Employees!$A$2:$A$51,Employees!$B$2:$B$51)</f>
        <v>Sneha Reddy</v>
      </c>
      <c r="M465" s="3" t="str">
        <f>_xlfn.XLOOKUP(K465,Employees!$A$2:$A$51,Employees!$E$2:$E$51)</f>
        <v>Chennai</v>
      </c>
      <c r="N465" s="3" t="s">
        <v>43</v>
      </c>
      <c r="O465" s="3" t="s">
        <v>47</v>
      </c>
      <c r="P465" s="11"/>
    </row>
    <row r="466" spans="1:19" x14ac:dyDescent="0.25">
      <c r="A466" s="3" t="s">
        <v>1853</v>
      </c>
      <c r="B466" s="6">
        <v>46127</v>
      </c>
      <c r="C466" s="3" t="s">
        <v>1854</v>
      </c>
      <c r="D466" s="3" t="s">
        <v>1855</v>
      </c>
      <c r="E466" s="3" t="s">
        <v>170</v>
      </c>
      <c r="F466" s="3" t="s">
        <v>605</v>
      </c>
      <c r="G466" s="3" t="s">
        <v>40</v>
      </c>
      <c r="H466" s="3">
        <v>4</v>
      </c>
      <c r="I466" s="3">
        <v>750</v>
      </c>
      <c r="J466" s="3">
        <v>3000</v>
      </c>
      <c r="K466" s="3" t="s">
        <v>55</v>
      </c>
      <c r="L466" s="3" t="str">
        <f>_xlfn.XLOOKUP(K466,Employees!$A$2:$A$51,Employees!$B$2:$B$51)</f>
        <v>Karthik Raj</v>
      </c>
      <c r="M466" s="3" t="str">
        <f>_xlfn.XLOOKUP(K466,Employees!$A$2:$A$51,Employees!$E$2:$E$51)</f>
        <v>Bangalore</v>
      </c>
      <c r="N466" s="3" t="s">
        <v>41</v>
      </c>
      <c r="O466" s="3" t="s">
        <v>47</v>
      </c>
      <c r="P466" s="11"/>
    </row>
    <row r="467" spans="1:19" x14ac:dyDescent="0.25">
      <c r="A467" s="3" t="s">
        <v>1856</v>
      </c>
      <c r="B467" s="6">
        <v>46128</v>
      </c>
      <c r="C467" s="3" t="s">
        <v>1857</v>
      </c>
      <c r="D467" s="3" t="s">
        <v>1858</v>
      </c>
      <c r="E467" s="3" t="s">
        <v>171</v>
      </c>
      <c r="F467" s="3" t="s">
        <v>608</v>
      </c>
      <c r="G467" s="3" t="s">
        <v>36</v>
      </c>
      <c r="H467" s="3">
        <v>2</v>
      </c>
      <c r="I467" s="3">
        <v>28000</v>
      </c>
      <c r="J467" s="3">
        <v>56000</v>
      </c>
      <c r="K467" s="3" t="s">
        <v>56</v>
      </c>
      <c r="L467" s="3" t="str">
        <f>_xlfn.XLOOKUP(K467,Employees!$A$2:$A$51,Employees!$B$2:$B$51)</f>
        <v xml:space="preserve">Divya Nair </v>
      </c>
      <c r="M467" s="3" t="str">
        <f>_xlfn.XLOOKUP(K467,Employees!$A$2:$A$51,Employees!$E$2:$E$51)</f>
        <v>Hydrabed</v>
      </c>
      <c r="N467" s="3" t="s">
        <v>44</v>
      </c>
      <c r="O467" s="3" t="s">
        <v>46</v>
      </c>
      <c r="P467" s="11"/>
    </row>
    <row r="468" spans="1:19" x14ac:dyDescent="0.25">
      <c r="A468" s="3" t="s">
        <v>1859</v>
      </c>
      <c r="B468" s="6">
        <v>46129</v>
      </c>
      <c r="C468" s="3" t="s">
        <v>1860</v>
      </c>
      <c r="D468" s="3" t="s">
        <v>1861</v>
      </c>
      <c r="E468" s="3" t="s">
        <v>172</v>
      </c>
      <c r="F468" s="3" t="s">
        <v>611</v>
      </c>
      <c r="G468" s="3" t="s">
        <v>37</v>
      </c>
      <c r="H468" s="3">
        <v>5</v>
      </c>
      <c r="I468" s="3">
        <v>1200</v>
      </c>
      <c r="J468" s="3">
        <v>6000</v>
      </c>
      <c r="K468" s="3" t="s">
        <v>57</v>
      </c>
      <c r="L468" s="3" t="str">
        <f>_xlfn.XLOOKUP(K468,Employees!$A$2:$A$51,Employees!$B$2:$B$51)</f>
        <v>Ajay Singh</v>
      </c>
      <c r="M468" s="3" t="str">
        <f>_xlfn.XLOOKUP(K468,Employees!$A$2:$A$51,Employees!$E$2:$E$51)</f>
        <v>Chennai</v>
      </c>
      <c r="N468" s="3" t="s">
        <v>41</v>
      </c>
      <c r="O468" s="3" t="s">
        <v>47</v>
      </c>
      <c r="P468" s="11"/>
    </row>
    <row r="469" spans="1:19" x14ac:dyDescent="0.25">
      <c r="A469" s="3" t="s">
        <v>1862</v>
      </c>
      <c r="B469" s="6">
        <v>46130</v>
      </c>
      <c r="C469" s="3" t="s">
        <v>1863</v>
      </c>
      <c r="D469" s="3" t="s">
        <v>1864</v>
      </c>
      <c r="E469" s="3" t="s">
        <v>173</v>
      </c>
      <c r="F469" s="3" t="s">
        <v>614</v>
      </c>
      <c r="G469" s="3" t="s">
        <v>38</v>
      </c>
      <c r="H469" s="3">
        <v>3</v>
      </c>
      <c r="I469" s="3">
        <v>900</v>
      </c>
      <c r="J469" s="3">
        <v>2700</v>
      </c>
      <c r="K469" s="3" t="s">
        <v>58</v>
      </c>
      <c r="L469" s="3" t="str">
        <f>_xlfn.XLOOKUP(K469,Employees!$A$2:$A$51,Employees!$B$2:$B$51)</f>
        <v>Meera Joshi</v>
      </c>
      <c r="M469" s="3" t="str">
        <f>_xlfn.XLOOKUP(K469,Employees!$A$2:$A$51,Employees!$E$2:$E$51)</f>
        <v>Mumbai</v>
      </c>
      <c r="N469" s="3" t="s">
        <v>41</v>
      </c>
      <c r="O469" s="3" t="s">
        <v>46</v>
      </c>
      <c r="P469" s="11"/>
    </row>
    <row r="470" spans="1:19" x14ac:dyDescent="0.25">
      <c r="A470" s="3" t="s">
        <v>1865</v>
      </c>
      <c r="B470" s="6">
        <v>46131</v>
      </c>
      <c r="C470" s="3" t="s">
        <v>1866</v>
      </c>
      <c r="D470" s="3" t="s">
        <v>1867</v>
      </c>
      <c r="E470" s="3" t="s">
        <v>174</v>
      </c>
      <c r="F470" s="3" t="s">
        <v>617</v>
      </c>
      <c r="G470" s="3" t="s">
        <v>39</v>
      </c>
      <c r="H470" s="3">
        <v>2</v>
      </c>
      <c r="I470" s="3">
        <v>13000</v>
      </c>
      <c r="J470" s="3">
        <v>26000</v>
      </c>
      <c r="K470" s="3" t="s">
        <v>59</v>
      </c>
      <c r="L470" s="3" t="str">
        <f>_xlfn.XLOOKUP(K470,Employees!$A$2:$A$51,Employees!$B$2:$B$51)</f>
        <v>Sanjay Kumar</v>
      </c>
      <c r="M470" s="3" t="str">
        <f>_xlfn.XLOOKUP(K470,Employees!$A$2:$A$51,Employees!$E$2:$E$51)</f>
        <v>Delhi</v>
      </c>
      <c r="N470" s="3" t="s">
        <v>44</v>
      </c>
      <c r="O470" s="3" t="s">
        <v>48</v>
      </c>
      <c r="P470" s="11"/>
    </row>
    <row r="471" spans="1:19" x14ac:dyDescent="0.25">
      <c r="A471" s="3" t="s">
        <v>1868</v>
      </c>
      <c r="B471" s="6">
        <v>46132</v>
      </c>
      <c r="C471" s="3" t="s">
        <v>1869</v>
      </c>
      <c r="D471" s="3" t="s">
        <v>1870</v>
      </c>
      <c r="E471" s="3" t="s">
        <v>175</v>
      </c>
      <c r="F471" s="3" t="s">
        <v>620</v>
      </c>
      <c r="G471" s="3" t="s">
        <v>40</v>
      </c>
      <c r="H471" s="3">
        <v>6</v>
      </c>
      <c r="I471" s="3">
        <v>500</v>
      </c>
      <c r="J471" s="3">
        <v>3000</v>
      </c>
      <c r="K471" s="3" t="s">
        <v>60</v>
      </c>
      <c r="L471" s="3" t="str">
        <f>_xlfn.XLOOKUP(K471,Employees!$A$2:$A$51,Employees!$B$2:$B$51)</f>
        <v>Pooja Patel</v>
      </c>
      <c r="M471" s="3" t="str">
        <f>_xlfn.XLOOKUP(K471,Employees!$A$2:$A$51,Employees!$E$2:$E$51)</f>
        <v>Bangalore</v>
      </c>
      <c r="N471" s="3" t="s">
        <v>43</v>
      </c>
      <c r="O471" s="3" t="s">
        <v>47</v>
      </c>
      <c r="P471" s="11"/>
    </row>
    <row r="472" spans="1:19" x14ac:dyDescent="0.25">
      <c r="A472" s="3" t="s">
        <v>1871</v>
      </c>
      <c r="B472" s="6">
        <v>46133</v>
      </c>
      <c r="C472" s="3" t="s">
        <v>1872</v>
      </c>
      <c r="D472" s="3" t="s">
        <v>1873</v>
      </c>
      <c r="E472" s="3" t="s">
        <v>119</v>
      </c>
      <c r="F472" s="3" t="s">
        <v>533</v>
      </c>
      <c r="G472" s="3" t="s">
        <v>36</v>
      </c>
      <c r="H472" s="3">
        <v>1</v>
      </c>
      <c r="I472" s="3">
        <v>25000</v>
      </c>
      <c r="J472" s="3">
        <v>25000</v>
      </c>
      <c r="K472" s="3" t="s">
        <v>91</v>
      </c>
      <c r="L472" s="3" t="str">
        <f>_xlfn.XLOOKUP(K472,Employees!$A$2:$A$51,Employees!$B$2:$B$51)</f>
        <v>Nithya Krishnan</v>
      </c>
      <c r="M472" s="3" t="str">
        <f>_xlfn.XLOOKUP(K472,Employees!$A$2:$A$51,Employees!$E$2:$E$51)</f>
        <v>Chennai</v>
      </c>
      <c r="N472" s="3" t="s">
        <v>43</v>
      </c>
      <c r="O472" s="3" t="s">
        <v>47</v>
      </c>
      <c r="P472" s="11"/>
    </row>
    <row r="473" spans="1:19" x14ac:dyDescent="0.25">
      <c r="A473" s="3" t="s">
        <v>1874</v>
      </c>
      <c r="B473" s="6">
        <v>46134</v>
      </c>
      <c r="C473" s="3" t="s">
        <v>1875</v>
      </c>
      <c r="D473" s="3" t="s">
        <v>1876</v>
      </c>
      <c r="E473" s="3" t="s">
        <v>120</v>
      </c>
      <c r="F473" s="3" t="s">
        <v>536</v>
      </c>
      <c r="G473" s="3" t="s">
        <v>37</v>
      </c>
      <c r="H473" s="3">
        <v>2</v>
      </c>
      <c r="I473" s="3">
        <v>1500</v>
      </c>
      <c r="J473" s="3">
        <v>3000</v>
      </c>
      <c r="K473" s="3" t="s">
        <v>92</v>
      </c>
      <c r="L473" s="3" t="str">
        <f>_xlfn.XLOOKUP(K473,Employees!$A$2:$A$51,Employees!$B$2:$B$51)</f>
        <v>Rohit Mehta</v>
      </c>
      <c r="M473" s="3" t="str">
        <f>_xlfn.XLOOKUP(K473,Employees!$A$2:$A$51,Employees!$E$2:$E$51)</f>
        <v>Hydrabed</v>
      </c>
      <c r="N473" s="3" t="s">
        <v>44</v>
      </c>
      <c r="O473" s="3" t="s">
        <v>46</v>
      </c>
      <c r="P473" s="11"/>
    </row>
    <row r="474" spans="1:19" x14ac:dyDescent="0.25">
      <c r="A474" s="3" t="s">
        <v>1877</v>
      </c>
      <c r="B474" s="6">
        <v>46135</v>
      </c>
      <c r="C474" s="3" t="s">
        <v>1878</v>
      </c>
      <c r="D474" s="3" t="s">
        <v>1879</v>
      </c>
      <c r="E474" s="3" t="s">
        <v>121</v>
      </c>
      <c r="F474" s="3" t="s">
        <v>539</v>
      </c>
      <c r="G474" s="3" t="s">
        <v>38</v>
      </c>
      <c r="H474" s="3">
        <v>10</v>
      </c>
      <c r="I474" s="3">
        <v>500</v>
      </c>
      <c r="J474" s="3">
        <v>5000</v>
      </c>
      <c r="K474" s="3" t="s">
        <v>93</v>
      </c>
      <c r="L474" s="3" t="str">
        <f>_xlfn.XLOOKUP(K474,Employees!$A$2:$A$51,Employees!$B$2:$B$51)</f>
        <v>Aisha Khan</v>
      </c>
      <c r="M474" s="3" t="str">
        <f>_xlfn.XLOOKUP(K474,Employees!$A$2:$A$51,Employees!$E$2:$E$51)</f>
        <v>Delhi</v>
      </c>
      <c r="N474" s="3" t="s">
        <v>42</v>
      </c>
      <c r="O474" s="3" t="s">
        <v>49</v>
      </c>
      <c r="P474" s="11"/>
    </row>
    <row r="475" spans="1:19" x14ac:dyDescent="0.25">
      <c r="A475" s="3" t="s">
        <v>1880</v>
      </c>
      <c r="B475" s="6">
        <v>46136</v>
      </c>
      <c r="C475" s="3" t="s">
        <v>1881</v>
      </c>
      <c r="D475" s="3" t="s">
        <v>1882</v>
      </c>
      <c r="E475" s="3" t="s">
        <v>122</v>
      </c>
      <c r="F475" s="3" t="s">
        <v>542</v>
      </c>
      <c r="G475" s="3" t="s">
        <v>39</v>
      </c>
      <c r="H475" s="3">
        <v>1</v>
      </c>
      <c r="I475" s="3">
        <v>12000</v>
      </c>
      <c r="J475" s="3">
        <v>12000</v>
      </c>
      <c r="K475" s="3" t="s">
        <v>94</v>
      </c>
      <c r="L475" s="3" t="str">
        <f>_xlfn.XLOOKUP(K475,Employees!$A$2:$A$51,Employees!$B$2:$B$51)</f>
        <v>Vikram Iyer</v>
      </c>
      <c r="M475" s="3" t="str">
        <f>_xlfn.XLOOKUP(K475,Employees!$A$2:$A$51,Employees!$E$2:$E$51)</f>
        <v>Bangalore</v>
      </c>
      <c r="N475" s="3" t="s">
        <v>45</v>
      </c>
      <c r="O475" s="3" t="s">
        <v>49</v>
      </c>
      <c r="P475" s="11"/>
    </row>
    <row r="476" spans="1:19" x14ac:dyDescent="0.25">
      <c r="A476" s="3" t="s">
        <v>1883</v>
      </c>
      <c r="B476" s="6">
        <v>46137</v>
      </c>
      <c r="C476" s="3" t="s">
        <v>1884</v>
      </c>
      <c r="D476" s="3" t="s">
        <v>1885</v>
      </c>
      <c r="E476" s="3" t="s">
        <v>123</v>
      </c>
      <c r="F476" s="3" t="s">
        <v>545</v>
      </c>
      <c r="G476" s="3" t="s">
        <v>40</v>
      </c>
      <c r="H476" s="3">
        <v>3</v>
      </c>
      <c r="I476" s="3">
        <v>800</v>
      </c>
      <c r="J476" s="3">
        <v>2400</v>
      </c>
      <c r="K476" s="3" t="s">
        <v>101</v>
      </c>
      <c r="L476" s="3" t="str">
        <f>_xlfn.XLOOKUP(K476,Employees!$A$2:$A$51,Employees!$B$2:$B$51)</f>
        <v>Neha Gupta</v>
      </c>
      <c r="M476" s="3" t="str">
        <f>_xlfn.XLOOKUP(K476,Employees!$A$2:$A$51,Employees!$E$2:$E$51)</f>
        <v>Mumbai</v>
      </c>
      <c r="N476" s="3" t="s">
        <v>43</v>
      </c>
      <c r="O476" s="3" t="s">
        <v>48</v>
      </c>
      <c r="P476" s="11"/>
    </row>
    <row r="477" spans="1:19" x14ac:dyDescent="0.25">
      <c r="A477" s="3" t="s">
        <v>1886</v>
      </c>
      <c r="B477" s="6">
        <v>46138</v>
      </c>
      <c r="C477" s="3" t="s">
        <v>1887</v>
      </c>
      <c r="D477" s="3" t="s">
        <v>1888</v>
      </c>
      <c r="E477" s="3" t="s">
        <v>124</v>
      </c>
      <c r="F477" s="3" t="s">
        <v>548</v>
      </c>
      <c r="G477" s="3" t="s">
        <v>36</v>
      </c>
      <c r="H477" s="3">
        <v>2</v>
      </c>
      <c r="I477" s="3">
        <v>18000</v>
      </c>
      <c r="J477" s="3">
        <v>36000</v>
      </c>
      <c r="K477" s="3" t="s">
        <v>105</v>
      </c>
      <c r="L477" s="3" t="str">
        <f>_xlfn.XLOOKUP(K477,Employees!$A$2:$A$51,Employees!$B$2:$B$51)</f>
        <v>Harish Ramanan</v>
      </c>
      <c r="M477" s="3" t="str">
        <f>_xlfn.XLOOKUP(K477,Employees!$A$2:$A$51,Employees!$E$2:$E$51)</f>
        <v>Chennai</v>
      </c>
      <c r="N477" s="3" t="s">
        <v>41</v>
      </c>
      <c r="O477" s="3" t="s">
        <v>46</v>
      </c>
      <c r="P477" s="11"/>
    </row>
    <row r="478" spans="1:19" x14ac:dyDescent="0.25">
      <c r="A478" s="3" t="s">
        <v>1889</v>
      </c>
      <c r="B478" s="6">
        <v>46139</v>
      </c>
      <c r="C478" s="3" t="s">
        <v>1890</v>
      </c>
      <c r="D478" s="3" t="s">
        <v>1891</v>
      </c>
      <c r="E478" s="3" t="s">
        <v>125</v>
      </c>
      <c r="F478" s="3" t="s">
        <v>551</v>
      </c>
      <c r="G478" s="3" t="s">
        <v>37</v>
      </c>
      <c r="H478" s="3">
        <v>4</v>
      </c>
      <c r="I478" s="3">
        <v>2200</v>
      </c>
      <c r="J478" s="3">
        <v>8800</v>
      </c>
      <c r="K478" s="3" t="s">
        <v>106</v>
      </c>
      <c r="L478" s="3" t="str">
        <f>_xlfn.XLOOKUP(K478,Employees!$A$2:$A$51,Employees!$B$2:$B$51)</f>
        <v>Lakshmi Devi</v>
      </c>
      <c r="M478" s="3" t="str">
        <f>_xlfn.XLOOKUP(K478,Employees!$A$2:$A$51,Employees!$E$2:$E$51)</f>
        <v>Bangalore</v>
      </c>
      <c r="N478" s="3" t="s">
        <v>43</v>
      </c>
      <c r="O478" s="3" t="s">
        <v>49</v>
      </c>
      <c r="P478" s="11"/>
    </row>
    <row r="479" spans="1:19" x14ac:dyDescent="0.25">
      <c r="A479" s="3" t="s">
        <v>1892</v>
      </c>
      <c r="B479" s="6">
        <v>46140</v>
      </c>
      <c r="C479" s="3" t="s">
        <v>1893</v>
      </c>
      <c r="D479" s="3" t="s">
        <v>1894</v>
      </c>
      <c r="E479" s="3" t="s">
        <v>126</v>
      </c>
      <c r="F479" s="3" t="s">
        <v>554</v>
      </c>
      <c r="G479" s="3" t="s">
        <v>38</v>
      </c>
      <c r="H479" s="3">
        <v>5</v>
      </c>
      <c r="I479" s="3">
        <v>300</v>
      </c>
      <c r="J479" s="3">
        <v>1500</v>
      </c>
      <c r="K479" s="3" t="s">
        <v>107</v>
      </c>
      <c r="L479" s="3" t="str">
        <f>_xlfn.XLOOKUP(K479,Employees!$A$2:$A$51,Employees!$B$2:$B$51)</f>
        <v>Mohammed Ali</v>
      </c>
      <c r="M479" s="3" t="str">
        <f>_xlfn.XLOOKUP(K479,Employees!$A$2:$A$51,Employees!$E$2:$E$51)</f>
        <v>Hydrabed</v>
      </c>
      <c r="N479" s="3" t="s">
        <v>44</v>
      </c>
      <c r="O479" s="3" t="s">
        <v>47</v>
      </c>
      <c r="P479" s="11"/>
      <c r="S479">
        <f ca="1">S479</f>
        <v>0</v>
      </c>
    </row>
    <row r="480" spans="1:19" x14ac:dyDescent="0.25">
      <c r="A480" s="3" t="s">
        <v>1895</v>
      </c>
      <c r="B480" s="6">
        <v>46141</v>
      </c>
      <c r="C480" s="3" t="s">
        <v>1896</v>
      </c>
      <c r="D480" s="3" t="s">
        <v>1897</v>
      </c>
      <c r="E480" s="3" t="s">
        <v>127</v>
      </c>
      <c r="F480" s="3" t="s">
        <v>557</v>
      </c>
      <c r="G480" s="3" t="s">
        <v>39</v>
      </c>
      <c r="H480" s="3">
        <v>2</v>
      </c>
      <c r="I480" s="3">
        <v>15000</v>
      </c>
      <c r="J480" s="3">
        <v>30000</v>
      </c>
      <c r="K480" s="3" t="s">
        <v>108</v>
      </c>
      <c r="L480" s="3" t="str">
        <f>_xlfn.XLOOKUP(K480,Employees!$A$2:$A$51,Employees!$B$2:$B$51)</f>
        <v>Kavya Srinivas</v>
      </c>
      <c r="M480" s="3" t="str">
        <f>_xlfn.XLOOKUP(K480,Employees!$A$2:$A$51,Employees!$E$2:$E$51)</f>
        <v>Delhi</v>
      </c>
      <c r="N480" s="3" t="s">
        <v>45</v>
      </c>
      <c r="O480" s="3" t="s">
        <v>47</v>
      </c>
      <c r="P480" s="11"/>
    </row>
    <row r="481" spans="1:16" x14ac:dyDescent="0.25">
      <c r="A481" s="3" t="s">
        <v>1898</v>
      </c>
      <c r="B481" s="6">
        <v>46142</v>
      </c>
      <c r="C481" s="3" t="s">
        <v>1899</v>
      </c>
      <c r="D481" s="3" t="s">
        <v>1900</v>
      </c>
      <c r="E481" s="3" t="s">
        <v>128</v>
      </c>
      <c r="F481" s="3" t="s">
        <v>560</v>
      </c>
      <c r="G481" s="3" t="s">
        <v>40</v>
      </c>
      <c r="H481" s="3">
        <v>3</v>
      </c>
      <c r="I481" s="3">
        <v>1200</v>
      </c>
      <c r="J481" s="3">
        <v>3600</v>
      </c>
      <c r="K481" s="3" t="s">
        <v>109</v>
      </c>
      <c r="L481" s="3" t="str">
        <f>_xlfn.XLOOKUP(K481,Employees!$A$2:$A$51,Employees!$B$2:$B$51)</f>
        <v>Rakesh Sharma</v>
      </c>
      <c r="M481" s="3" t="str">
        <f>_xlfn.XLOOKUP(K481,Employees!$A$2:$A$51,Employees!$E$2:$E$51)</f>
        <v>Mumbai</v>
      </c>
      <c r="N481" s="3" t="s">
        <v>44</v>
      </c>
      <c r="O481" s="3" t="s">
        <v>46</v>
      </c>
      <c r="P481" s="11"/>
    </row>
    <row r="482" spans="1:16" x14ac:dyDescent="0.25">
      <c r="A482" s="3" t="s">
        <v>1901</v>
      </c>
      <c r="B482" s="6">
        <v>46143</v>
      </c>
      <c r="C482" s="3" t="s">
        <v>1902</v>
      </c>
      <c r="D482" s="3" t="s">
        <v>1903</v>
      </c>
      <c r="E482" s="3" t="s">
        <v>156</v>
      </c>
      <c r="F482" s="3" t="s">
        <v>563</v>
      </c>
      <c r="G482" s="3" t="s">
        <v>36</v>
      </c>
      <c r="H482" s="3">
        <v>2</v>
      </c>
      <c r="I482" s="3">
        <v>32000</v>
      </c>
      <c r="J482" s="3">
        <v>64000</v>
      </c>
      <c r="K482" s="3" t="s">
        <v>51</v>
      </c>
      <c r="L482" s="3" t="str">
        <f>_xlfn.XLOOKUP(K482,Employees!$A$2:$A$51,Employees!$B$2:$B$51)</f>
        <v>Arjun Kumar</v>
      </c>
      <c r="M482" s="3" t="str">
        <f>_xlfn.XLOOKUP(K482,Employees!$A$2:$A$51,Employees!$E$2:$E$51)</f>
        <v>Chennai</v>
      </c>
      <c r="N482" s="3" t="s">
        <v>44</v>
      </c>
      <c r="O482" s="3" t="s">
        <v>48</v>
      </c>
      <c r="P482" s="11"/>
    </row>
    <row r="483" spans="1:16" x14ac:dyDescent="0.25">
      <c r="A483" s="3" t="s">
        <v>1904</v>
      </c>
      <c r="B483" s="6">
        <v>46144</v>
      </c>
      <c r="C483" s="3" t="s">
        <v>1905</v>
      </c>
      <c r="D483" s="3" t="s">
        <v>1906</v>
      </c>
      <c r="E483" s="3" t="s">
        <v>157</v>
      </c>
      <c r="F483" s="3" t="s">
        <v>566</v>
      </c>
      <c r="G483" s="3" t="s">
        <v>37</v>
      </c>
      <c r="H483" s="3">
        <v>1</v>
      </c>
      <c r="I483" s="3">
        <v>1800</v>
      </c>
      <c r="J483" s="3">
        <v>1800</v>
      </c>
      <c r="K483" s="3" t="s">
        <v>52</v>
      </c>
      <c r="L483" s="3" t="str">
        <f>_xlfn.XLOOKUP(K483,Employees!$A$2:$A$51,Employees!$B$2:$B$51)</f>
        <v>Priya Sharma</v>
      </c>
      <c r="M483" s="3" t="str">
        <f>_xlfn.XLOOKUP(K483,Employees!$A$2:$A$51,Employees!$E$2:$E$51)</f>
        <v>Bangalore</v>
      </c>
      <c r="N483" s="3" t="s">
        <v>45</v>
      </c>
      <c r="O483" s="3" t="s">
        <v>46</v>
      </c>
      <c r="P483" s="11"/>
    </row>
    <row r="484" spans="1:16" x14ac:dyDescent="0.25">
      <c r="A484" s="3" t="s">
        <v>1907</v>
      </c>
      <c r="B484" s="6">
        <v>46145</v>
      </c>
      <c r="C484" s="3" t="s">
        <v>1908</v>
      </c>
      <c r="D484" s="3" t="s">
        <v>1909</v>
      </c>
      <c r="E484" s="3" t="s">
        <v>158</v>
      </c>
      <c r="F484" s="3" t="s">
        <v>569</v>
      </c>
      <c r="G484" s="3" t="s">
        <v>38</v>
      </c>
      <c r="H484" s="3">
        <v>6</v>
      </c>
      <c r="I484" s="3">
        <v>250</v>
      </c>
      <c r="J484" s="3">
        <v>1500</v>
      </c>
      <c r="K484" s="3" t="s">
        <v>53</v>
      </c>
      <c r="L484" s="3" t="str">
        <f>_xlfn.XLOOKUP(K484,Employees!$A$2:$A$51,Employees!$B$2:$B$51)</f>
        <v>Rahul Verma</v>
      </c>
      <c r="M484" s="3" t="str">
        <f>_xlfn.XLOOKUP(K484,Employees!$A$2:$A$51,Employees!$E$2:$E$51)</f>
        <v>Hydrabed</v>
      </c>
      <c r="N484" s="3" t="s">
        <v>44</v>
      </c>
      <c r="O484" s="3" t="s">
        <v>46</v>
      </c>
      <c r="P484" s="11"/>
    </row>
    <row r="485" spans="1:16" x14ac:dyDescent="0.25">
      <c r="A485" s="3" t="s">
        <v>1910</v>
      </c>
      <c r="B485" s="6">
        <v>46146</v>
      </c>
      <c r="C485" s="3" t="s">
        <v>1911</v>
      </c>
      <c r="D485" s="3" t="s">
        <v>1912</v>
      </c>
      <c r="E485" s="3" t="s">
        <v>159</v>
      </c>
      <c r="F485" s="3" t="s">
        <v>572</v>
      </c>
      <c r="G485" s="3" t="s">
        <v>39</v>
      </c>
      <c r="H485" s="3">
        <v>2</v>
      </c>
      <c r="I485" s="3">
        <v>9000</v>
      </c>
      <c r="J485" s="3">
        <v>18000</v>
      </c>
      <c r="K485" s="3" t="s">
        <v>54</v>
      </c>
      <c r="L485" s="3" t="str">
        <f>_xlfn.XLOOKUP(K485,Employees!$A$2:$A$51,Employees!$B$2:$B$51)</f>
        <v>Sneha Reddy</v>
      </c>
      <c r="M485" s="3" t="str">
        <f>_xlfn.XLOOKUP(K485,Employees!$A$2:$A$51,Employees!$E$2:$E$51)</f>
        <v>Chennai</v>
      </c>
      <c r="N485" s="3" t="s">
        <v>41</v>
      </c>
      <c r="O485" s="3" t="s">
        <v>46</v>
      </c>
      <c r="P485" s="11"/>
    </row>
    <row r="486" spans="1:16" x14ac:dyDescent="0.25">
      <c r="A486" s="3" t="s">
        <v>1913</v>
      </c>
      <c r="B486" s="6">
        <v>46147</v>
      </c>
      <c r="C486" s="3" t="s">
        <v>1914</v>
      </c>
      <c r="D486" s="3" t="s">
        <v>1915</v>
      </c>
      <c r="E486" s="3" t="s">
        <v>160</v>
      </c>
      <c r="F486" s="3" t="s">
        <v>575</v>
      </c>
      <c r="G486" s="3" t="s">
        <v>40</v>
      </c>
      <c r="H486" s="3">
        <v>4</v>
      </c>
      <c r="I486" s="3">
        <v>600</v>
      </c>
      <c r="J486" s="3">
        <v>2400</v>
      </c>
      <c r="K486" s="3" t="s">
        <v>55</v>
      </c>
      <c r="L486" s="3" t="str">
        <f>_xlfn.XLOOKUP(K486,Employees!$A$2:$A$51,Employees!$B$2:$B$51)</f>
        <v>Karthik Raj</v>
      </c>
      <c r="M486" s="3" t="str">
        <f>_xlfn.XLOOKUP(K486,Employees!$A$2:$A$51,Employees!$E$2:$E$51)</f>
        <v>Bangalore</v>
      </c>
      <c r="N486" s="3" t="s">
        <v>43</v>
      </c>
      <c r="O486" s="3" t="s">
        <v>46</v>
      </c>
      <c r="P486" s="11"/>
    </row>
    <row r="487" spans="1:16" x14ac:dyDescent="0.25">
      <c r="A487" s="3" t="s">
        <v>1916</v>
      </c>
      <c r="B487" s="6">
        <v>46148</v>
      </c>
      <c r="C487" s="3" t="s">
        <v>1917</v>
      </c>
      <c r="D487" s="3" t="s">
        <v>1918</v>
      </c>
      <c r="E487" s="3" t="s">
        <v>161</v>
      </c>
      <c r="F487" s="3" t="s">
        <v>578</v>
      </c>
      <c r="G487" s="3" t="s">
        <v>36</v>
      </c>
      <c r="H487" s="3">
        <v>3</v>
      </c>
      <c r="I487" s="3">
        <v>21000</v>
      </c>
      <c r="J487" s="3">
        <v>63000</v>
      </c>
      <c r="K487" s="3" t="s">
        <v>56</v>
      </c>
      <c r="L487" s="3" t="str">
        <f>_xlfn.XLOOKUP(K487,Employees!$A$2:$A$51,Employees!$B$2:$B$51)</f>
        <v xml:space="preserve">Divya Nair </v>
      </c>
      <c r="M487" s="3" t="str">
        <f>_xlfn.XLOOKUP(K487,Employees!$A$2:$A$51,Employees!$E$2:$E$51)</f>
        <v>Hydrabed</v>
      </c>
      <c r="N487" s="3" t="s">
        <v>42</v>
      </c>
      <c r="O487" s="3" t="s">
        <v>47</v>
      </c>
      <c r="P487" s="11"/>
    </row>
    <row r="488" spans="1:16" x14ac:dyDescent="0.25">
      <c r="A488" s="3" t="s">
        <v>1919</v>
      </c>
      <c r="B488" s="6">
        <v>46149</v>
      </c>
      <c r="C488" s="3" t="s">
        <v>1920</v>
      </c>
      <c r="D488" s="3" t="s">
        <v>1921</v>
      </c>
      <c r="E488" s="3" t="s">
        <v>162</v>
      </c>
      <c r="F488" s="3" t="s">
        <v>581</v>
      </c>
      <c r="G488" s="3" t="s">
        <v>37</v>
      </c>
      <c r="H488" s="3">
        <v>2</v>
      </c>
      <c r="I488" s="3">
        <v>2500</v>
      </c>
      <c r="J488" s="3">
        <v>5000</v>
      </c>
      <c r="K488" s="3" t="s">
        <v>57</v>
      </c>
      <c r="L488" s="3" t="str">
        <f>_xlfn.XLOOKUP(K488,Employees!$A$2:$A$51,Employees!$B$2:$B$51)</f>
        <v>Ajay Singh</v>
      </c>
      <c r="M488" s="3" t="str">
        <f>_xlfn.XLOOKUP(K488,Employees!$A$2:$A$51,Employees!$E$2:$E$51)</f>
        <v>Chennai</v>
      </c>
      <c r="N488" s="3" t="s">
        <v>45</v>
      </c>
      <c r="O488" s="3" t="s">
        <v>49</v>
      </c>
      <c r="P488" s="11"/>
    </row>
    <row r="489" spans="1:16" x14ac:dyDescent="0.25">
      <c r="A489" s="3" t="s">
        <v>1922</v>
      </c>
      <c r="B489" s="6">
        <v>46150</v>
      </c>
      <c r="C489" s="3" t="s">
        <v>1923</v>
      </c>
      <c r="D489" s="3" t="s">
        <v>1924</v>
      </c>
      <c r="E489" s="3" t="s">
        <v>163</v>
      </c>
      <c r="F489" s="3" t="s">
        <v>584</v>
      </c>
      <c r="G489" s="3" t="s">
        <v>38</v>
      </c>
      <c r="H489" s="3">
        <v>8</v>
      </c>
      <c r="I489" s="3">
        <v>700</v>
      </c>
      <c r="J489" s="3">
        <v>5600</v>
      </c>
      <c r="K489" s="3" t="s">
        <v>58</v>
      </c>
      <c r="L489" s="3" t="str">
        <f>_xlfn.XLOOKUP(K489,Employees!$A$2:$A$51,Employees!$B$2:$B$51)</f>
        <v>Meera Joshi</v>
      </c>
      <c r="M489" s="3" t="str">
        <f>_xlfn.XLOOKUP(K489,Employees!$A$2:$A$51,Employees!$E$2:$E$51)</f>
        <v>Mumbai</v>
      </c>
      <c r="N489" s="3" t="s">
        <v>45</v>
      </c>
      <c r="O489" s="3" t="s">
        <v>46</v>
      </c>
      <c r="P489" s="11"/>
    </row>
    <row r="490" spans="1:16" x14ac:dyDescent="0.25">
      <c r="A490" s="3" t="s">
        <v>1925</v>
      </c>
      <c r="B490" s="6">
        <v>46151</v>
      </c>
      <c r="C490" s="3" t="s">
        <v>1926</v>
      </c>
      <c r="D490" s="3" t="s">
        <v>1927</v>
      </c>
      <c r="E490" s="3" t="s">
        <v>164</v>
      </c>
      <c r="F490" s="3" t="s">
        <v>587</v>
      </c>
      <c r="G490" s="3" t="s">
        <v>39</v>
      </c>
      <c r="H490" s="3">
        <v>1</v>
      </c>
      <c r="I490" s="3">
        <v>18000</v>
      </c>
      <c r="J490" s="3">
        <v>18000</v>
      </c>
      <c r="K490" s="3" t="s">
        <v>59</v>
      </c>
      <c r="L490" s="3" t="str">
        <f>_xlfn.XLOOKUP(K490,Employees!$A$2:$A$51,Employees!$B$2:$B$51)</f>
        <v>Sanjay Kumar</v>
      </c>
      <c r="M490" s="3" t="str">
        <f>_xlfn.XLOOKUP(K490,Employees!$A$2:$A$51,Employees!$E$2:$E$51)</f>
        <v>Delhi</v>
      </c>
      <c r="N490" s="3" t="s">
        <v>45</v>
      </c>
      <c r="O490" s="3" t="s">
        <v>47</v>
      </c>
      <c r="P490" s="11"/>
    </row>
    <row r="491" spans="1:16" x14ac:dyDescent="0.25">
      <c r="A491" s="3" t="s">
        <v>1928</v>
      </c>
      <c r="B491" s="6">
        <v>46152</v>
      </c>
      <c r="C491" s="3" t="s">
        <v>1929</v>
      </c>
      <c r="D491" s="3" t="s">
        <v>1930</v>
      </c>
      <c r="E491" s="3" t="s">
        <v>165</v>
      </c>
      <c r="F491" s="3" t="s">
        <v>590</v>
      </c>
      <c r="G491" s="3" t="s">
        <v>40</v>
      </c>
      <c r="H491" s="3">
        <v>5</v>
      </c>
      <c r="I491" s="3">
        <v>900</v>
      </c>
      <c r="J491" s="3">
        <v>4500</v>
      </c>
      <c r="K491" s="3" t="s">
        <v>60</v>
      </c>
      <c r="L491" s="3" t="str">
        <f>_xlfn.XLOOKUP(K491,Employees!$A$2:$A$51,Employees!$B$2:$B$51)</f>
        <v>Pooja Patel</v>
      </c>
      <c r="M491" s="3" t="str">
        <f>_xlfn.XLOOKUP(K491,Employees!$A$2:$A$51,Employees!$E$2:$E$51)</f>
        <v>Bangalore</v>
      </c>
      <c r="N491" s="3" t="s">
        <v>41</v>
      </c>
      <c r="O491" s="3" t="s">
        <v>49</v>
      </c>
      <c r="P491" s="11"/>
    </row>
    <row r="492" spans="1:16" x14ac:dyDescent="0.25">
      <c r="A492" s="3" t="s">
        <v>1931</v>
      </c>
      <c r="B492" s="6">
        <v>46153</v>
      </c>
      <c r="C492" s="3" t="s">
        <v>1932</v>
      </c>
      <c r="D492" s="3" t="s">
        <v>1933</v>
      </c>
      <c r="E492" s="3" t="s">
        <v>166</v>
      </c>
      <c r="F492" s="3" t="s">
        <v>593</v>
      </c>
      <c r="G492" s="3" t="s">
        <v>36</v>
      </c>
      <c r="H492" s="3">
        <v>3</v>
      </c>
      <c r="I492" s="3">
        <v>15000</v>
      </c>
      <c r="J492" s="3">
        <v>45000</v>
      </c>
      <c r="K492" s="3" t="s">
        <v>91</v>
      </c>
      <c r="L492" s="3" t="str">
        <f>_xlfn.XLOOKUP(K492,Employees!$A$2:$A$51,Employees!$B$2:$B$51)</f>
        <v>Nithya Krishnan</v>
      </c>
      <c r="M492" s="3" t="str">
        <f>_xlfn.XLOOKUP(K492,Employees!$A$2:$A$51,Employees!$E$2:$E$51)</f>
        <v>Chennai</v>
      </c>
      <c r="N492" s="3" t="s">
        <v>43</v>
      </c>
      <c r="O492" s="3" t="s">
        <v>49</v>
      </c>
      <c r="P492" s="11"/>
    </row>
    <row r="493" spans="1:16" x14ac:dyDescent="0.25">
      <c r="A493" s="3" t="s">
        <v>1934</v>
      </c>
      <c r="B493" s="6">
        <v>46154</v>
      </c>
      <c r="C493" s="3" t="s">
        <v>1935</v>
      </c>
      <c r="D493" s="3" t="s">
        <v>1936</v>
      </c>
      <c r="E493" s="3" t="s">
        <v>167</v>
      </c>
      <c r="F493" s="3" t="s">
        <v>596</v>
      </c>
      <c r="G493" s="3" t="s">
        <v>37</v>
      </c>
      <c r="H493" s="3">
        <v>2</v>
      </c>
      <c r="I493" s="3">
        <v>3000</v>
      </c>
      <c r="J493" s="3">
        <v>6000</v>
      </c>
      <c r="K493" s="3" t="s">
        <v>92</v>
      </c>
      <c r="L493" s="3" t="str">
        <f>_xlfn.XLOOKUP(K493,Employees!$A$2:$A$51,Employees!$B$2:$B$51)</f>
        <v>Rohit Mehta</v>
      </c>
      <c r="M493" s="3" t="str">
        <f>_xlfn.XLOOKUP(K493,Employees!$A$2:$A$51,Employees!$E$2:$E$51)</f>
        <v>Hydrabed</v>
      </c>
      <c r="N493" s="3" t="s">
        <v>45</v>
      </c>
      <c r="O493" s="3" t="s">
        <v>46</v>
      </c>
      <c r="P493" s="11"/>
    </row>
    <row r="494" spans="1:16" x14ac:dyDescent="0.25">
      <c r="A494" s="3" t="s">
        <v>1937</v>
      </c>
      <c r="B494" s="6">
        <v>46155</v>
      </c>
      <c r="C494" s="3" t="s">
        <v>1938</v>
      </c>
      <c r="D494" s="3" t="s">
        <v>1939</v>
      </c>
      <c r="E494" s="3" t="s">
        <v>168</v>
      </c>
      <c r="F494" s="3" t="s">
        <v>599</v>
      </c>
      <c r="G494" s="3" t="s">
        <v>38</v>
      </c>
      <c r="H494" s="3">
        <v>7</v>
      </c>
      <c r="I494" s="3">
        <v>400</v>
      </c>
      <c r="J494" s="3">
        <v>2800</v>
      </c>
      <c r="K494" s="3" t="s">
        <v>93</v>
      </c>
      <c r="L494" s="3" t="str">
        <f>_xlfn.XLOOKUP(K494,Employees!$A$2:$A$51,Employees!$B$2:$B$51)</f>
        <v>Aisha Khan</v>
      </c>
      <c r="M494" s="3" t="str">
        <f>_xlfn.XLOOKUP(K494,Employees!$A$2:$A$51,Employees!$E$2:$E$51)</f>
        <v>Delhi</v>
      </c>
      <c r="N494" s="3" t="s">
        <v>43</v>
      </c>
      <c r="O494" s="3" t="s">
        <v>46</v>
      </c>
      <c r="P494" s="11"/>
    </row>
    <row r="495" spans="1:16" x14ac:dyDescent="0.25">
      <c r="A495" s="3" t="s">
        <v>1940</v>
      </c>
      <c r="B495" s="6">
        <v>46156</v>
      </c>
      <c r="C495" s="3" t="s">
        <v>1941</v>
      </c>
      <c r="D495" s="3" t="s">
        <v>1942</v>
      </c>
      <c r="E495" s="3" t="s">
        <v>169</v>
      </c>
      <c r="F495" s="3" t="s">
        <v>602</v>
      </c>
      <c r="G495" s="3" t="s">
        <v>39</v>
      </c>
      <c r="H495" s="3">
        <v>1</v>
      </c>
      <c r="I495" s="3">
        <v>11000</v>
      </c>
      <c r="J495" s="3">
        <v>11000</v>
      </c>
      <c r="K495" s="3" t="s">
        <v>94</v>
      </c>
      <c r="L495" s="3" t="str">
        <f>_xlfn.XLOOKUP(K495,Employees!$A$2:$A$51,Employees!$B$2:$B$51)</f>
        <v>Vikram Iyer</v>
      </c>
      <c r="M495" s="3" t="str">
        <f>_xlfn.XLOOKUP(K495,Employees!$A$2:$A$51,Employees!$E$2:$E$51)</f>
        <v>Bangalore</v>
      </c>
      <c r="N495" s="3" t="s">
        <v>44</v>
      </c>
      <c r="O495" s="3" t="s">
        <v>48</v>
      </c>
      <c r="P495" s="11"/>
    </row>
    <row r="496" spans="1:16" x14ac:dyDescent="0.25">
      <c r="A496" s="3" t="s">
        <v>1943</v>
      </c>
      <c r="B496" s="6">
        <v>46157</v>
      </c>
      <c r="C496" s="3" t="s">
        <v>1944</v>
      </c>
      <c r="D496" s="3" t="s">
        <v>1945</v>
      </c>
      <c r="E496" s="3" t="s">
        <v>170</v>
      </c>
      <c r="F496" s="3" t="s">
        <v>605</v>
      </c>
      <c r="G496" s="3" t="s">
        <v>40</v>
      </c>
      <c r="H496" s="3">
        <v>4</v>
      </c>
      <c r="I496" s="3">
        <v>750</v>
      </c>
      <c r="J496" s="3">
        <v>3000</v>
      </c>
      <c r="K496" s="3" t="s">
        <v>101</v>
      </c>
      <c r="L496" s="3" t="str">
        <f>_xlfn.XLOOKUP(K496,Employees!$A$2:$A$51,Employees!$B$2:$B$51)</f>
        <v>Neha Gupta</v>
      </c>
      <c r="M496" s="3" t="str">
        <f>_xlfn.XLOOKUP(K496,Employees!$A$2:$A$51,Employees!$E$2:$E$51)</f>
        <v>Mumbai</v>
      </c>
      <c r="N496" s="3" t="s">
        <v>43</v>
      </c>
      <c r="O496" s="3" t="s">
        <v>47</v>
      </c>
      <c r="P496" s="11"/>
    </row>
    <row r="497" spans="1:16" x14ac:dyDescent="0.25">
      <c r="A497" s="3" t="s">
        <v>1946</v>
      </c>
      <c r="B497" s="6">
        <v>46158</v>
      </c>
      <c r="C497" s="3" t="s">
        <v>1947</v>
      </c>
      <c r="D497" s="3" t="s">
        <v>1948</v>
      </c>
      <c r="E497" s="3" t="s">
        <v>171</v>
      </c>
      <c r="F497" s="3" t="s">
        <v>608</v>
      </c>
      <c r="G497" s="3" t="s">
        <v>36</v>
      </c>
      <c r="H497" s="3">
        <v>2</v>
      </c>
      <c r="I497" s="3">
        <v>28000</v>
      </c>
      <c r="J497" s="3">
        <v>56000</v>
      </c>
      <c r="K497" s="3" t="s">
        <v>105</v>
      </c>
      <c r="L497" s="3" t="str">
        <f>_xlfn.XLOOKUP(K497,Employees!$A$2:$A$51,Employees!$B$2:$B$51)</f>
        <v>Harish Ramanan</v>
      </c>
      <c r="M497" s="3" t="str">
        <f>_xlfn.XLOOKUP(K497,Employees!$A$2:$A$51,Employees!$E$2:$E$51)</f>
        <v>Chennai</v>
      </c>
      <c r="N497" s="3" t="s">
        <v>42</v>
      </c>
      <c r="O497" s="3" t="s">
        <v>47</v>
      </c>
      <c r="P497" s="11"/>
    </row>
    <row r="498" spans="1:16" x14ac:dyDescent="0.25">
      <c r="A498" s="3" t="s">
        <v>1949</v>
      </c>
      <c r="B498" s="6">
        <v>46159</v>
      </c>
      <c r="C498" s="3" t="s">
        <v>1950</v>
      </c>
      <c r="D498" s="3" t="s">
        <v>1951</v>
      </c>
      <c r="E498" s="3" t="s">
        <v>172</v>
      </c>
      <c r="F498" s="3" t="s">
        <v>611</v>
      </c>
      <c r="G498" s="3" t="s">
        <v>37</v>
      </c>
      <c r="H498" s="3">
        <v>5</v>
      </c>
      <c r="I498" s="3">
        <v>1200</v>
      </c>
      <c r="J498" s="3">
        <v>6000</v>
      </c>
      <c r="K498" s="3" t="s">
        <v>106</v>
      </c>
      <c r="L498" s="3" t="str">
        <f>_xlfn.XLOOKUP(K498,Employees!$A$2:$A$51,Employees!$B$2:$B$51)</f>
        <v>Lakshmi Devi</v>
      </c>
      <c r="M498" s="3" t="str">
        <f>_xlfn.XLOOKUP(K498,Employees!$A$2:$A$51,Employees!$E$2:$E$51)</f>
        <v>Bangalore</v>
      </c>
      <c r="N498" s="3" t="s">
        <v>43</v>
      </c>
      <c r="O498" s="3" t="s">
        <v>48</v>
      </c>
      <c r="P498" s="11"/>
    </row>
    <row r="499" spans="1:16" x14ac:dyDescent="0.25">
      <c r="A499" s="3" t="s">
        <v>1952</v>
      </c>
      <c r="B499" s="6">
        <v>46160</v>
      </c>
      <c r="C499" s="3" t="s">
        <v>1953</v>
      </c>
      <c r="D499" s="3" t="s">
        <v>1954</v>
      </c>
      <c r="E499" s="3" t="s">
        <v>173</v>
      </c>
      <c r="F499" s="3" t="s">
        <v>614</v>
      </c>
      <c r="G499" s="3" t="s">
        <v>38</v>
      </c>
      <c r="H499" s="3">
        <v>3</v>
      </c>
      <c r="I499" s="3">
        <v>900</v>
      </c>
      <c r="J499" s="3">
        <v>2700</v>
      </c>
      <c r="K499" s="3" t="s">
        <v>107</v>
      </c>
      <c r="L499" s="3" t="str">
        <f>_xlfn.XLOOKUP(K499,Employees!$A$2:$A$51,Employees!$B$2:$B$51)</f>
        <v>Mohammed Ali</v>
      </c>
      <c r="M499" s="3" t="str">
        <f>_xlfn.XLOOKUP(K499,Employees!$A$2:$A$51,Employees!$E$2:$E$51)</f>
        <v>Hydrabed</v>
      </c>
      <c r="N499" s="3" t="s">
        <v>41</v>
      </c>
      <c r="O499" s="3" t="s">
        <v>48</v>
      </c>
      <c r="P499" s="11"/>
    </row>
    <row r="500" spans="1:16" x14ac:dyDescent="0.25">
      <c r="A500" s="3" t="s">
        <v>1955</v>
      </c>
      <c r="B500" s="6">
        <v>46161</v>
      </c>
      <c r="C500" s="3" t="s">
        <v>1956</v>
      </c>
      <c r="D500" s="3" t="s">
        <v>1957</v>
      </c>
      <c r="E500" s="3" t="s">
        <v>174</v>
      </c>
      <c r="F500" s="3" t="s">
        <v>617</v>
      </c>
      <c r="G500" s="3" t="s">
        <v>39</v>
      </c>
      <c r="H500" s="3">
        <v>2</v>
      </c>
      <c r="I500" s="3">
        <v>13000</v>
      </c>
      <c r="J500" s="3">
        <v>26000</v>
      </c>
      <c r="K500" s="3" t="s">
        <v>108</v>
      </c>
      <c r="L500" s="3" t="str">
        <f>_xlfn.XLOOKUP(K500,Employees!$A$2:$A$51,Employees!$B$2:$B$51)</f>
        <v>Kavya Srinivas</v>
      </c>
      <c r="M500" s="3" t="str">
        <f>_xlfn.XLOOKUP(K500,Employees!$A$2:$A$51,Employees!$E$2:$E$51)</f>
        <v>Delhi</v>
      </c>
      <c r="N500" s="3" t="s">
        <v>41</v>
      </c>
      <c r="O500" s="3" t="s">
        <v>47</v>
      </c>
      <c r="P500" s="11"/>
    </row>
    <row r="501" spans="1:16" x14ac:dyDescent="0.25">
      <c r="A501" s="3" t="s">
        <v>1958</v>
      </c>
      <c r="B501" s="6">
        <v>46162</v>
      </c>
      <c r="C501" s="3" t="s">
        <v>1959</v>
      </c>
      <c r="D501" s="3" t="s">
        <v>1960</v>
      </c>
      <c r="E501" s="3" t="s">
        <v>175</v>
      </c>
      <c r="F501" s="3" t="s">
        <v>620</v>
      </c>
      <c r="G501" s="3" t="s">
        <v>40</v>
      </c>
      <c r="H501" s="3">
        <v>6</v>
      </c>
      <c r="I501" s="3">
        <v>500</v>
      </c>
      <c r="J501" s="3">
        <v>3000</v>
      </c>
      <c r="K501" s="3" t="s">
        <v>109</v>
      </c>
      <c r="L501" s="3" t="str">
        <f>_xlfn.XLOOKUP(K501,Employees!$A$2:$A$51,Employees!$B$2:$B$51)</f>
        <v>Rakesh Sharma</v>
      </c>
      <c r="M501" s="3" t="str">
        <f>_xlfn.XLOOKUP(K501,Employees!$A$2:$A$51,Employees!$E$2:$E$51)</f>
        <v>Mumbai</v>
      </c>
      <c r="N501" s="3" t="s">
        <v>44</v>
      </c>
      <c r="O501" s="3" t="s">
        <v>46</v>
      </c>
      <c r="P501" s="11"/>
    </row>
    <row r="502" spans="1:16" x14ac:dyDescent="0.25">
      <c r="P502" s="11"/>
    </row>
    <row r="503" spans="1:16" x14ac:dyDescent="0.25">
      <c r="P503" s="11"/>
    </row>
    <row r="504" spans="1:16" x14ac:dyDescent="0.25">
      <c r="P50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06FB-AAA5-4AB3-BF34-73F708FEA249}">
  <dimension ref="A1:H21"/>
  <sheetViews>
    <sheetView zoomScaleNormal="100" workbookViewId="0">
      <selection activeCell="C7" sqref="C7"/>
    </sheetView>
  </sheetViews>
  <sheetFormatPr defaultRowHeight="15" x14ac:dyDescent="0.25"/>
  <cols>
    <col min="1" max="1" width="18.5703125" style="3" customWidth="1"/>
    <col min="2" max="2" width="18.28515625" style="3" customWidth="1"/>
    <col min="3" max="3" width="16.140625" style="3" customWidth="1"/>
    <col min="4" max="4" width="29" style="3" customWidth="1"/>
    <col min="5" max="5" width="12.42578125" style="3" customWidth="1"/>
    <col min="6" max="6" width="14.140625" style="3" customWidth="1"/>
    <col min="7" max="7" width="18.28515625" style="3" customWidth="1"/>
    <col min="8" max="8" width="14.85546875" style="3" customWidth="1"/>
  </cols>
  <sheetData>
    <row r="1" spans="1:8" s="8" customFormat="1" x14ac:dyDescent="0.25">
      <c r="A1" s="1" t="s">
        <v>6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s="3" t="s">
        <v>51</v>
      </c>
      <c r="B2" s="3" t="s">
        <v>61</v>
      </c>
      <c r="C2" s="3" t="s">
        <v>31</v>
      </c>
      <c r="D2" s="3" t="s">
        <v>66</v>
      </c>
      <c r="E2" s="3" t="s">
        <v>67</v>
      </c>
      <c r="F2" s="3">
        <v>35000</v>
      </c>
      <c r="G2" s="6">
        <v>44941</v>
      </c>
      <c r="H2" s="3" t="s">
        <v>75</v>
      </c>
    </row>
    <row r="3" spans="1:8" x14ac:dyDescent="0.25">
      <c r="A3" s="3" t="s">
        <v>52</v>
      </c>
      <c r="B3" s="3" t="s">
        <v>62</v>
      </c>
      <c r="C3" s="3" t="s">
        <v>32</v>
      </c>
      <c r="D3" s="3" t="s">
        <v>68</v>
      </c>
      <c r="E3" s="3" t="s">
        <v>73</v>
      </c>
      <c r="F3" s="3">
        <v>40000</v>
      </c>
      <c r="G3" s="6">
        <v>44640</v>
      </c>
      <c r="H3" s="3" t="s">
        <v>76</v>
      </c>
    </row>
    <row r="4" spans="1:8" x14ac:dyDescent="0.25">
      <c r="A4" s="3" t="s">
        <v>53</v>
      </c>
      <c r="B4" s="3" t="s">
        <v>63</v>
      </c>
      <c r="C4" s="3" t="s">
        <v>69</v>
      </c>
      <c r="D4" s="3" t="s">
        <v>70</v>
      </c>
      <c r="E4" s="3" t="s">
        <v>71</v>
      </c>
      <c r="F4" s="3">
        <v>45000</v>
      </c>
      <c r="G4" s="6">
        <v>44387</v>
      </c>
      <c r="H4" s="3" t="s">
        <v>77</v>
      </c>
    </row>
    <row r="5" spans="1:8" x14ac:dyDescent="0.25">
      <c r="A5" s="3" t="s">
        <v>54</v>
      </c>
      <c r="B5" s="3" t="s">
        <v>64</v>
      </c>
      <c r="C5" s="3" t="s">
        <v>34</v>
      </c>
      <c r="D5" s="3" t="s">
        <v>72</v>
      </c>
      <c r="E5" s="3" t="s">
        <v>67</v>
      </c>
      <c r="F5" s="3">
        <v>38000</v>
      </c>
      <c r="G5" s="6">
        <v>45174</v>
      </c>
      <c r="H5" s="3" t="s">
        <v>78</v>
      </c>
    </row>
    <row r="6" spans="1:8" x14ac:dyDescent="0.25">
      <c r="A6" s="3" t="s">
        <v>55</v>
      </c>
      <c r="B6" s="3" t="s">
        <v>65</v>
      </c>
      <c r="C6" s="3" t="s">
        <v>35</v>
      </c>
      <c r="D6" s="3" t="s">
        <v>74</v>
      </c>
      <c r="E6" s="3" t="s">
        <v>73</v>
      </c>
      <c r="F6" s="3">
        <v>55000</v>
      </c>
      <c r="G6" s="6">
        <v>44883</v>
      </c>
      <c r="H6" s="3" t="s">
        <v>79</v>
      </c>
    </row>
    <row r="7" spans="1:8" x14ac:dyDescent="0.25">
      <c r="A7" s="3" t="s">
        <v>56</v>
      </c>
      <c r="B7" s="3" t="s">
        <v>80</v>
      </c>
      <c r="C7" s="3" t="s">
        <v>31</v>
      </c>
      <c r="D7" s="3" t="s">
        <v>66</v>
      </c>
      <c r="E7" s="3" t="s">
        <v>71</v>
      </c>
      <c r="F7" s="3">
        <v>36000</v>
      </c>
      <c r="G7" s="6">
        <v>45334</v>
      </c>
      <c r="H7" s="3" t="s">
        <v>75</v>
      </c>
    </row>
    <row r="8" spans="1:8" x14ac:dyDescent="0.25">
      <c r="A8" s="3" t="s">
        <v>57</v>
      </c>
      <c r="B8" s="3" t="s">
        <v>81</v>
      </c>
      <c r="C8" s="3" t="s">
        <v>35</v>
      </c>
      <c r="D8" s="3" t="s">
        <v>83</v>
      </c>
      <c r="E8" s="3" t="s">
        <v>67</v>
      </c>
      <c r="F8" s="3">
        <v>50000</v>
      </c>
      <c r="G8" s="6">
        <v>44416</v>
      </c>
      <c r="H8" s="3" t="s">
        <v>79</v>
      </c>
    </row>
    <row r="9" spans="1:8" x14ac:dyDescent="0.25">
      <c r="A9" s="3" t="s">
        <v>58</v>
      </c>
      <c r="B9" s="3" t="s">
        <v>82</v>
      </c>
      <c r="C9" s="3" t="s">
        <v>32</v>
      </c>
      <c r="D9" s="3" t="s">
        <v>84</v>
      </c>
      <c r="E9" s="3" t="s">
        <v>85</v>
      </c>
      <c r="F9" s="3">
        <v>60000</v>
      </c>
      <c r="G9" s="6">
        <v>43935</v>
      </c>
      <c r="H9" s="3" t="s">
        <v>76</v>
      </c>
    </row>
    <row r="10" spans="1:8" x14ac:dyDescent="0.25">
      <c r="A10" s="3" t="s">
        <v>59</v>
      </c>
      <c r="B10" s="3" t="s">
        <v>86</v>
      </c>
      <c r="C10" s="3" t="s">
        <v>69</v>
      </c>
      <c r="D10" s="3" t="s">
        <v>87</v>
      </c>
      <c r="E10" s="3" t="s">
        <v>88</v>
      </c>
      <c r="F10" s="3">
        <v>48000</v>
      </c>
      <c r="G10" s="6">
        <v>44737</v>
      </c>
      <c r="H10" s="3" t="s">
        <v>77</v>
      </c>
    </row>
    <row r="11" spans="1:8" x14ac:dyDescent="0.25">
      <c r="A11" s="3" t="s">
        <v>60</v>
      </c>
      <c r="B11" s="3" t="s">
        <v>89</v>
      </c>
      <c r="C11" s="3" t="s">
        <v>34</v>
      </c>
      <c r="D11" s="3" t="s">
        <v>90</v>
      </c>
      <c r="E11" s="3" t="s">
        <v>73</v>
      </c>
      <c r="F11" s="3">
        <v>62000</v>
      </c>
      <c r="G11" s="6">
        <v>44499</v>
      </c>
      <c r="H11" s="3" t="s">
        <v>78</v>
      </c>
    </row>
    <row r="12" spans="1:8" x14ac:dyDescent="0.25">
      <c r="A12" s="3" t="s">
        <v>91</v>
      </c>
      <c r="B12" s="3" t="s">
        <v>95</v>
      </c>
      <c r="C12" s="3" t="s">
        <v>31</v>
      </c>
      <c r="D12" s="3" t="s">
        <v>96</v>
      </c>
      <c r="E12" s="3" t="s">
        <v>67</v>
      </c>
      <c r="F12" s="3">
        <v>65000</v>
      </c>
      <c r="G12" s="6">
        <v>43841</v>
      </c>
      <c r="H12" s="3" t="s">
        <v>75</v>
      </c>
    </row>
    <row r="13" spans="1:8" x14ac:dyDescent="0.25">
      <c r="A13" s="3" t="s">
        <v>92</v>
      </c>
      <c r="B13" s="3" t="s">
        <v>97</v>
      </c>
      <c r="C13" s="3" t="s">
        <v>35</v>
      </c>
      <c r="D13" s="3" t="s">
        <v>98</v>
      </c>
      <c r="E13" s="3" t="s">
        <v>71</v>
      </c>
      <c r="F13" s="3">
        <v>58000</v>
      </c>
      <c r="G13" s="6">
        <v>44823</v>
      </c>
      <c r="H13" s="3" t="s">
        <v>79</v>
      </c>
    </row>
    <row r="14" spans="1:8" x14ac:dyDescent="0.25">
      <c r="A14" s="3" t="s">
        <v>93</v>
      </c>
      <c r="B14" s="3" t="s">
        <v>99</v>
      </c>
      <c r="C14" s="3" t="s">
        <v>32</v>
      </c>
      <c r="D14" s="3" t="s">
        <v>68</v>
      </c>
      <c r="E14" s="3" t="s">
        <v>88</v>
      </c>
      <c r="F14" s="3">
        <v>42000</v>
      </c>
      <c r="G14" s="6">
        <v>45267</v>
      </c>
      <c r="H14" s="3" t="s">
        <v>76</v>
      </c>
    </row>
    <row r="15" spans="1:8" x14ac:dyDescent="0.25">
      <c r="A15" s="3" t="s">
        <v>94</v>
      </c>
      <c r="B15" s="3" t="s">
        <v>100</v>
      </c>
      <c r="C15" s="3" t="s">
        <v>69</v>
      </c>
      <c r="D15" s="3" t="s">
        <v>103</v>
      </c>
      <c r="E15" s="3" t="s">
        <v>73</v>
      </c>
      <c r="F15" s="3">
        <v>56000</v>
      </c>
      <c r="G15" s="6">
        <v>44331</v>
      </c>
      <c r="H15" s="3" t="s">
        <v>77</v>
      </c>
    </row>
    <row r="16" spans="1:8" x14ac:dyDescent="0.25">
      <c r="A16" s="3" t="s">
        <v>101</v>
      </c>
      <c r="B16" s="3" t="s">
        <v>102</v>
      </c>
      <c r="C16" s="3" t="s">
        <v>34</v>
      </c>
      <c r="D16" s="3" t="s">
        <v>104</v>
      </c>
      <c r="E16" s="3" t="s">
        <v>85</v>
      </c>
      <c r="F16" s="3">
        <v>47000</v>
      </c>
      <c r="G16" s="6">
        <v>44776</v>
      </c>
      <c r="H16" s="3" t="s">
        <v>78</v>
      </c>
    </row>
    <row r="17" spans="1:8" x14ac:dyDescent="0.25">
      <c r="A17" s="3" t="s">
        <v>105</v>
      </c>
      <c r="B17" s="3" t="s">
        <v>110</v>
      </c>
      <c r="C17" s="3" t="s">
        <v>35</v>
      </c>
      <c r="D17" s="3" t="s">
        <v>115</v>
      </c>
      <c r="E17" s="3" t="s">
        <v>67</v>
      </c>
      <c r="F17" s="3">
        <v>53000</v>
      </c>
      <c r="G17" s="6">
        <v>44979</v>
      </c>
      <c r="H17" s="3" t="s">
        <v>79</v>
      </c>
    </row>
    <row r="18" spans="1:8" x14ac:dyDescent="0.25">
      <c r="A18" s="3" t="s">
        <v>106</v>
      </c>
      <c r="B18" s="3" t="s">
        <v>111</v>
      </c>
      <c r="C18" s="3" t="s">
        <v>31</v>
      </c>
      <c r="D18" s="3" t="s">
        <v>66</v>
      </c>
      <c r="E18" s="3" t="s">
        <v>73</v>
      </c>
      <c r="F18" s="3">
        <v>37000</v>
      </c>
      <c r="G18" s="6">
        <v>45461</v>
      </c>
      <c r="H18" s="3" t="s">
        <v>75</v>
      </c>
    </row>
    <row r="19" spans="1:8" x14ac:dyDescent="0.25">
      <c r="A19" s="3" t="s">
        <v>107</v>
      </c>
      <c r="B19" s="3" t="s">
        <v>112</v>
      </c>
      <c r="C19" s="3" t="s">
        <v>69</v>
      </c>
      <c r="D19" s="3" t="s">
        <v>116</v>
      </c>
      <c r="E19" s="3" t="s">
        <v>71</v>
      </c>
      <c r="F19" s="3">
        <v>70000</v>
      </c>
      <c r="G19" s="6">
        <v>43781</v>
      </c>
      <c r="H19" s="3" t="s">
        <v>77</v>
      </c>
    </row>
    <row r="20" spans="1:8" x14ac:dyDescent="0.25">
      <c r="A20" s="3" t="s">
        <v>108</v>
      </c>
      <c r="B20" s="3" t="s">
        <v>113</v>
      </c>
      <c r="C20" s="3" t="s">
        <v>34</v>
      </c>
      <c r="D20" s="3" t="s">
        <v>117</v>
      </c>
      <c r="E20" s="3" t="s">
        <v>88</v>
      </c>
      <c r="F20" s="3">
        <v>44000</v>
      </c>
      <c r="G20" s="6">
        <v>45012</v>
      </c>
      <c r="H20" s="3" t="s">
        <v>78</v>
      </c>
    </row>
    <row r="21" spans="1:8" x14ac:dyDescent="0.25">
      <c r="A21" s="3" t="s">
        <v>109</v>
      </c>
      <c r="B21" s="3" t="s">
        <v>114</v>
      </c>
      <c r="C21" s="3" t="s">
        <v>32</v>
      </c>
      <c r="D21" s="3" t="s">
        <v>118</v>
      </c>
      <c r="E21" s="3" t="s">
        <v>85</v>
      </c>
      <c r="F21" s="3">
        <v>46000</v>
      </c>
      <c r="G21" s="6">
        <v>44570</v>
      </c>
      <c r="H21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645A-8898-4A12-A2BF-5DF30F5EAA50}">
  <dimension ref="A1:G31"/>
  <sheetViews>
    <sheetView zoomScaleNormal="100" workbookViewId="0">
      <selection activeCell="G32" sqref="G32"/>
    </sheetView>
  </sheetViews>
  <sheetFormatPr defaultRowHeight="15" x14ac:dyDescent="0.25"/>
  <cols>
    <col min="1" max="1" width="16.28515625" style="3" customWidth="1"/>
    <col min="2" max="2" width="18.140625" style="3" customWidth="1"/>
    <col min="3" max="4" width="16" style="3" customWidth="1"/>
    <col min="5" max="5" width="16.28515625" style="3" customWidth="1"/>
    <col min="6" max="6" width="13.28515625" style="3" customWidth="1"/>
    <col min="7" max="7" width="18.28515625" style="3" customWidth="1"/>
  </cols>
  <sheetData>
    <row r="1" spans="1:7" s="2" customFormat="1" x14ac:dyDescent="0.25">
      <c r="A1" s="1" t="s">
        <v>1</v>
      </c>
      <c r="B1" s="1" t="s">
        <v>13</v>
      </c>
      <c r="C1" s="1" t="s">
        <v>2</v>
      </c>
      <c r="D1" s="1" t="s">
        <v>22</v>
      </c>
      <c r="E1" s="1" t="s">
        <v>4</v>
      </c>
      <c r="F1" s="1" t="s">
        <v>23</v>
      </c>
      <c r="G1" s="1" t="s">
        <v>24</v>
      </c>
    </row>
    <row r="2" spans="1:7" x14ac:dyDescent="0.25">
      <c r="A2" s="3" t="s">
        <v>119</v>
      </c>
      <c r="B2" s="3" t="s">
        <v>129</v>
      </c>
      <c r="C2" s="3" t="s">
        <v>36</v>
      </c>
      <c r="D2" s="3" t="s">
        <v>139</v>
      </c>
      <c r="E2" s="3">
        <v>55000</v>
      </c>
      <c r="F2" s="3">
        <v>40</v>
      </c>
      <c r="G2" s="3" t="s">
        <v>149</v>
      </c>
    </row>
    <row r="3" spans="1:7" x14ac:dyDescent="0.25">
      <c r="A3" s="3" t="s">
        <v>120</v>
      </c>
      <c r="B3" s="3" t="s">
        <v>130</v>
      </c>
      <c r="C3" s="3" t="s">
        <v>36</v>
      </c>
      <c r="D3" s="3" t="s">
        <v>140</v>
      </c>
      <c r="E3" s="3">
        <v>28000</v>
      </c>
      <c r="F3" s="3">
        <v>60</v>
      </c>
      <c r="G3" s="3" t="s">
        <v>150</v>
      </c>
    </row>
    <row r="4" spans="1:7" x14ac:dyDescent="0.25">
      <c r="A4" s="3" t="s">
        <v>121</v>
      </c>
      <c r="B4" s="3" t="s">
        <v>131</v>
      </c>
      <c r="C4" s="3" t="s">
        <v>36</v>
      </c>
      <c r="D4" s="3" t="s">
        <v>141</v>
      </c>
      <c r="E4" s="3">
        <v>3500</v>
      </c>
      <c r="F4" s="3">
        <v>100</v>
      </c>
      <c r="G4" s="3" t="s">
        <v>151</v>
      </c>
    </row>
    <row r="5" spans="1:7" x14ac:dyDescent="0.25">
      <c r="A5" s="3" t="s">
        <v>122</v>
      </c>
      <c r="B5" s="3" t="s">
        <v>132</v>
      </c>
      <c r="C5" s="3" t="s">
        <v>39</v>
      </c>
      <c r="D5" s="3" t="s">
        <v>142</v>
      </c>
      <c r="E5" s="3">
        <v>6500</v>
      </c>
      <c r="F5" s="3">
        <v>25</v>
      </c>
      <c r="G5" s="3" t="s">
        <v>152</v>
      </c>
    </row>
    <row r="6" spans="1:7" x14ac:dyDescent="0.25">
      <c r="A6" s="3" t="s">
        <v>123</v>
      </c>
      <c r="B6" s="3" t="s">
        <v>133</v>
      </c>
      <c r="C6" s="3" t="s">
        <v>39</v>
      </c>
      <c r="D6" s="3" t="s">
        <v>143</v>
      </c>
      <c r="E6" s="3">
        <v>8500</v>
      </c>
      <c r="F6" s="3">
        <v>20</v>
      </c>
      <c r="G6" s="3" t="s">
        <v>153</v>
      </c>
    </row>
    <row r="7" spans="1:7" x14ac:dyDescent="0.25">
      <c r="A7" s="3" t="s">
        <v>124</v>
      </c>
      <c r="B7" s="3" t="s">
        <v>134</v>
      </c>
      <c r="C7" s="3" t="s">
        <v>37</v>
      </c>
      <c r="D7" s="3" t="s">
        <v>144</v>
      </c>
      <c r="E7" s="3">
        <v>1200</v>
      </c>
      <c r="F7" s="3">
        <v>150</v>
      </c>
      <c r="G7" s="3" t="s">
        <v>154</v>
      </c>
    </row>
    <row r="8" spans="1:7" x14ac:dyDescent="0.25">
      <c r="A8" s="3" t="s">
        <v>125</v>
      </c>
      <c r="B8" s="3" t="s">
        <v>135</v>
      </c>
      <c r="C8" s="3" t="s">
        <v>37</v>
      </c>
      <c r="D8" s="3" t="s">
        <v>145</v>
      </c>
      <c r="E8" s="3">
        <v>2500</v>
      </c>
      <c r="F8" s="3">
        <v>90</v>
      </c>
      <c r="G8" s="3" t="s">
        <v>154</v>
      </c>
    </row>
    <row r="9" spans="1:7" x14ac:dyDescent="0.25">
      <c r="A9" s="3" t="s">
        <v>126</v>
      </c>
      <c r="B9" s="3" t="s">
        <v>136</v>
      </c>
      <c r="C9" s="3" t="s">
        <v>38</v>
      </c>
      <c r="D9" s="3" t="s">
        <v>146</v>
      </c>
      <c r="E9" s="3">
        <v>900</v>
      </c>
      <c r="F9" s="3">
        <v>80</v>
      </c>
      <c r="G9" s="3" t="s">
        <v>155</v>
      </c>
    </row>
    <row r="10" spans="1:7" x14ac:dyDescent="0.25">
      <c r="A10" s="3" t="s">
        <v>127</v>
      </c>
      <c r="B10" s="3" t="s">
        <v>137</v>
      </c>
      <c r="C10" s="3" t="s">
        <v>38</v>
      </c>
      <c r="D10" s="3" t="s">
        <v>147</v>
      </c>
      <c r="E10" s="3">
        <v>1100</v>
      </c>
      <c r="F10" s="3">
        <v>70</v>
      </c>
      <c r="G10" s="3" t="s">
        <v>155</v>
      </c>
    </row>
    <row r="11" spans="1:7" x14ac:dyDescent="0.25">
      <c r="A11" s="3" t="s">
        <v>128</v>
      </c>
      <c r="B11" s="3" t="s">
        <v>138</v>
      </c>
      <c r="C11" s="3" t="s">
        <v>36</v>
      </c>
      <c r="D11" s="3" t="s">
        <v>148</v>
      </c>
      <c r="E11" s="3">
        <v>4500</v>
      </c>
      <c r="F11" s="3">
        <v>50</v>
      </c>
      <c r="G11" s="3" t="s">
        <v>149</v>
      </c>
    </row>
    <row r="12" spans="1:7" x14ac:dyDescent="0.25">
      <c r="A12" s="3" t="s">
        <v>156</v>
      </c>
      <c r="B12" s="3" t="s">
        <v>176</v>
      </c>
      <c r="C12" s="3" t="s">
        <v>36</v>
      </c>
      <c r="D12" s="3" t="s">
        <v>186</v>
      </c>
      <c r="E12" s="3">
        <v>4500</v>
      </c>
      <c r="F12" s="3">
        <v>45</v>
      </c>
      <c r="G12" s="3" t="s">
        <v>151</v>
      </c>
    </row>
    <row r="13" spans="1:7" x14ac:dyDescent="0.25">
      <c r="A13" s="3" t="s">
        <v>157</v>
      </c>
      <c r="B13" s="3" t="s">
        <v>177</v>
      </c>
      <c r="C13" s="3" t="s">
        <v>36</v>
      </c>
      <c r="D13" s="3" t="s">
        <v>187</v>
      </c>
      <c r="E13" s="3">
        <v>1800</v>
      </c>
      <c r="F13" s="3">
        <v>75</v>
      </c>
      <c r="G13" s="3" t="s">
        <v>149</v>
      </c>
    </row>
    <row r="14" spans="1:7" x14ac:dyDescent="0.25">
      <c r="A14" s="3" t="s">
        <v>158</v>
      </c>
      <c r="B14" s="3" t="s">
        <v>178</v>
      </c>
      <c r="C14" s="3" t="s">
        <v>36</v>
      </c>
      <c r="D14" s="3" t="s">
        <v>188</v>
      </c>
      <c r="E14" s="3">
        <v>1200</v>
      </c>
      <c r="F14" s="3">
        <v>90</v>
      </c>
      <c r="G14" s="3" t="s">
        <v>149</v>
      </c>
    </row>
    <row r="15" spans="1:7" x14ac:dyDescent="0.25">
      <c r="A15" s="3" t="s">
        <v>159</v>
      </c>
      <c r="B15" s="3" t="s">
        <v>179</v>
      </c>
      <c r="C15" s="3" t="s">
        <v>36</v>
      </c>
      <c r="D15" s="3" t="s">
        <v>189</v>
      </c>
      <c r="E15" s="3">
        <v>18000</v>
      </c>
      <c r="F15" s="3">
        <v>35</v>
      </c>
      <c r="G15" s="3" t="s">
        <v>149</v>
      </c>
    </row>
    <row r="16" spans="1:7" x14ac:dyDescent="0.25">
      <c r="A16" s="3" t="s">
        <v>160</v>
      </c>
      <c r="B16" s="3" t="s">
        <v>180</v>
      </c>
      <c r="C16" s="3" t="s">
        <v>184</v>
      </c>
      <c r="D16" s="3" t="s">
        <v>190</v>
      </c>
      <c r="E16" s="3">
        <v>2200</v>
      </c>
      <c r="F16" s="3">
        <v>65</v>
      </c>
      <c r="G16" s="3" t="s">
        <v>154</v>
      </c>
    </row>
    <row r="17" spans="1:7" x14ac:dyDescent="0.25">
      <c r="A17" s="3" t="s">
        <v>161</v>
      </c>
      <c r="B17" s="3" t="s">
        <v>181</v>
      </c>
      <c r="C17" s="3" t="s">
        <v>185</v>
      </c>
      <c r="D17" s="3" t="s">
        <v>191</v>
      </c>
      <c r="E17" s="3">
        <v>5000</v>
      </c>
      <c r="F17" s="3">
        <v>55</v>
      </c>
      <c r="G17" s="3" t="s">
        <v>198</v>
      </c>
    </row>
    <row r="18" spans="1:7" x14ac:dyDescent="0.25">
      <c r="A18" s="3" t="s">
        <v>162</v>
      </c>
      <c r="B18" s="3" t="s">
        <v>182</v>
      </c>
      <c r="C18" s="3" t="s">
        <v>37</v>
      </c>
      <c r="D18" s="3" t="s">
        <v>193</v>
      </c>
      <c r="E18" s="3">
        <v>2200</v>
      </c>
      <c r="F18" s="3">
        <v>80</v>
      </c>
      <c r="G18" s="3" t="s">
        <v>154</v>
      </c>
    </row>
    <row r="19" spans="1:7" x14ac:dyDescent="0.25">
      <c r="A19" s="3" t="s">
        <v>163</v>
      </c>
      <c r="B19" s="3" t="s">
        <v>183</v>
      </c>
      <c r="C19" s="3" t="s">
        <v>37</v>
      </c>
      <c r="D19" s="3" t="s">
        <v>194</v>
      </c>
      <c r="E19" s="3">
        <v>3500</v>
      </c>
      <c r="F19" s="3">
        <v>50</v>
      </c>
      <c r="G19" s="3" t="s">
        <v>154</v>
      </c>
    </row>
    <row r="20" spans="1:7" x14ac:dyDescent="0.25">
      <c r="A20" s="3" t="s">
        <v>164</v>
      </c>
      <c r="B20" s="3" t="s">
        <v>196</v>
      </c>
      <c r="C20" s="3" t="s">
        <v>38</v>
      </c>
      <c r="D20" s="3" t="s">
        <v>195</v>
      </c>
      <c r="E20" s="3">
        <v>650</v>
      </c>
      <c r="F20" s="3">
        <v>100</v>
      </c>
      <c r="G20" s="3" t="s">
        <v>155</v>
      </c>
    </row>
    <row r="21" spans="1:7" x14ac:dyDescent="0.25">
      <c r="A21" s="3" t="s">
        <v>165</v>
      </c>
      <c r="B21" s="3" t="s">
        <v>197</v>
      </c>
      <c r="C21" s="3" t="s">
        <v>185</v>
      </c>
      <c r="D21" s="3" t="s">
        <v>192</v>
      </c>
      <c r="E21" s="3">
        <v>2800</v>
      </c>
      <c r="F21" s="3">
        <v>70</v>
      </c>
      <c r="G21" s="3" t="s">
        <v>199</v>
      </c>
    </row>
    <row r="22" spans="1:7" x14ac:dyDescent="0.25">
      <c r="A22" s="3" t="s">
        <v>166</v>
      </c>
      <c r="B22" s="3" t="s">
        <v>200</v>
      </c>
      <c r="C22" s="3" t="s">
        <v>36</v>
      </c>
      <c r="D22" s="3" t="s">
        <v>210</v>
      </c>
      <c r="E22" s="3">
        <v>22000</v>
      </c>
      <c r="F22" s="3">
        <v>40</v>
      </c>
      <c r="G22" s="3" t="s">
        <v>149</v>
      </c>
    </row>
    <row r="23" spans="1:7" x14ac:dyDescent="0.25">
      <c r="A23" s="3" t="s">
        <v>167</v>
      </c>
      <c r="B23" s="3" t="s">
        <v>201</v>
      </c>
      <c r="C23" s="3" t="s">
        <v>36</v>
      </c>
      <c r="D23" s="3" t="s">
        <v>211</v>
      </c>
      <c r="E23" s="3">
        <v>12000</v>
      </c>
      <c r="F23" s="3">
        <v>30</v>
      </c>
      <c r="G23" s="3" t="s">
        <v>217</v>
      </c>
    </row>
    <row r="24" spans="1:7" x14ac:dyDescent="0.25">
      <c r="A24" s="3" t="s">
        <v>168</v>
      </c>
      <c r="B24" s="3" t="s">
        <v>202</v>
      </c>
      <c r="C24" s="3" t="s">
        <v>184</v>
      </c>
      <c r="D24" s="3" t="s">
        <v>212</v>
      </c>
      <c r="E24" s="3">
        <v>800</v>
      </c>
      <c r="F24" s="3">
        <v>120</v>
      </c>
      <c r="G24" s="3" t="s">
        <v>149</v>
      </c>
    </row>
    <row r="25" spans="1:7" x14ac:dyDescent="0.25">
      <c r="A25" s="3" t="s">
        <v>169</v>
      </c>
      <c r="B25" s="3" t="s">
        <v>203</v>
      </c>
      <c r="C25" s="3" t="s">
        <v>39</v>
      </c>
      <c r="D25" s="3" t="s">
        <v>143</v>
      </c>
      <c r="E25" s="3">
        <v>12000</v>
      </c>
      <c r="F25" s="3">
        <v>15</v>
      </c>
      <c r="G25" s="3" t="s">
        <v>153</v>
      </c>
    </row>
    <row r="26" spans="1:7" x14ac:dyDescent="0.25">
      <c r="A26" s="3" t="s">
        <v>170</v>
      </c>
      <c r="B26" s="3" t="s">
        <v>204</v>
      </c>
      <c r="C26" s="3" t="s">
        <v>39</v>
      </c>
      <c r="D26" s="3" t="s">
        <v>213</v>
      </c>
      <c r="E26" s="3">
        <v>7500</v>
      </c>
      <c r="F26" s="3">
        <v>20</v>
      </c>
      <c r="G26" s="3" t="s">
        <v>152</v>
      </c>
    </row>
    <row r="27" spans="1:7" x14ac:dyDescent="0.25">
      <c r="A27" s="3" t="s">
        <v>171</v>
      </c>
      <c r="B27" s="3" t="s">
        <v>205</v>
      </c>
      <c r="C27" s="3" t="s">
        <v>37</v>
      </c>
      <c r="D27" s="3" t="s">
        <v>144</v>
      </c>
      <c r="E27" s="3">
        <v>3500</v>
      </c>
      <c r="F27" s="3">
        <v>45</v>
      </c>
      <c r="G27" s="3" t="s">
        <v>154</v>
      </c>
    </row>
    <row r="28" spans="1:7" x14ac:dyDescent="0.25">
      <c r="A28" s="3" t="s">
        <v>172</v>
      </c>
      <c r="B28" s="3" t="s">
        <v>206</v>
      </c>
      <c r="C28" s="3" t="s">
        <v>185</v>
      </c>
      <c r="D28" s="3" t="s">
        <v>214</v>
      </c>
      <c r="E28" s="3">
        <v>6500</v>
      </c>
      <c r="F28" s="3">
        <v>35</v>
      </c>
      <c r="G28" s="3" t="s">
        <v>198</v>
      </c>
    </row>
    <row r="29" spans="1:7" x14ac:dyDescent="0.25">
      <c r="A29" s="3" t="s">
        <v>173</v>
      </c>
      <c r="B29" s="3" t="s">
        <v>207</v>
      </c>
      <c r="C29" s="3" t="s">
        <v>38</v>
      </c>
      <c r="D29" s="3" t="s">
        <v>215</v>
      </c>
      <c r="E29" s="3">
        <v>100</v>
      </c>
      <c r="F29" s="3">
        <v>200</v>
      </c>
      <c r="G29" s="3" t="s">
        <v>155</v>
      </c>
    </row>
    <row r="30" spans="1:7" x14ac:dyDescent="0.25">
      <c r="A30" s="3" t="s">
        <v>174</v>
      </c>
      <c r="B30" s="3" t="s">
        <v>208</v>
      </c>
      <c r="C30" s="3" t="s">
        <v>38</v>
      </c>
      <c r="D30" s="3" t="s">
        <v>216</v>
      </c>
      <c r="E30" s="3">
        <v>500</v>
      </c>
      <c r="F30" s="3">
        <v>150</v>
      </c>
      <c r="G30" s="3" t="s">
        <v>155</v>
      </c>
    </row>
    <row r="31" spans="1:7" x14ac:dyDescent="0.25">
      <c r="A31" s="3" t="s">
        <v>175</v>
      </c>
      <c r="B31" s="3" t="s">
        <v>209</v>
      </c>
      <c r="C31" s="3" t="s">
        <v>36</v>
      </c>
      <c r="D31" s="3" t="s">
        <v>187</v>
      </c>
      <c r="E31" s="3">
        <v>3500</v>
      </c>
      <c r="F31" s="3">
        <v>60</v>
      </c>
      <c r="G31" s="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888F-B243-4830-BA71-4F8D5CB3F718}">
  <dimension ref="A1:H101"/>
  <sheetViews>
    <sheetView zoomScaleNormal="100" workbookViewId="0">
      <selection activeCell="H1" sqref="H1"/>
    </sheetView>
  </sheetViews>
  <sheetFormatPr defaultRowHeight="15" x14ac:dyDescent="0.25"/>
  <cols>
    <col min="1" max="1" width="15.85546875" style="3" customWidth="1"/>
    <col min="2" max="2" width="18.5703125" style="3" customWidth="1"/>
    <col min="3" max="3" width="12.140625" style="3" customWidth="1"/>
    <col min="4" max="4" width="9.42578125" style="3" customWidth="1"/>
    <col min="5" max="5" width="14.42578125" style="3" customWidth="1"/>
    <col min="6" max="6" width="14.28515625" style="3" customWidth="1"/>
    <col min="7" max="7" width="18.140625" style="3" customWidth="1"/>
    <col min="8" max="8" width="28.42578125" style="10" customWidth="1"/>
  </cols>
  <sheetData>
    <row r="1" spans="1:8" s="4" customFormat="1" x14ac:dyDescent="0.25">
      <c r="A1" s="1" t="s">
        <v>11</v>
      </c>
      <c r="B1" s="1" t="s">
        <v>12</v>
      </c>
      <c r="C1" s="1" t="s">
        <v>25</v>
      </c>
      <c r="D1" s="1" t="s">
        <v>26</v>
      </c>
      <c r="E1" s="1" t="s">
        <v>18</v>
      </c>
      <c r="F1" s="1" t="s">
        <v>27</v>
      </c>
      <c r="G1" s="1" t="s">
        <v>28</v>
      </c>
      <c r="H1" s="1" t="s">
        <v>29</v>
      </c>
    </row>
    <row r="2" spans="1:8" x14ac:dyDescent="0.25">
      <c r="A2" s="3" t="s">
        <v>218</v>
      </c>
      <c r="B2" s="3" t="s">
        <v>238</v>
      </c>
      <c r="C2" s="3" t="s">
        <v>247</v>
      </c>
      <c r="D2" s="3">
        <v>28</v>
      </c>
      <c r="E2" s="3" t="s">
        <v>67</v>
      </c>
      <c r="F2" s="3" t="s">
        <v>251</v>
      </c>
      <c r="G2" s="3">
        <v>9876501001</v>
      </c>
      <c r="H2" s="9" t="s">
        <v>257</v>
      </c>
    </row>
    <row r="3" spans="1:8" x14ac:dyDescent="0.25">
      <c r="A3" s="3" t="s">
        <v>219</v>
      </c>
      <c r="B3" s="3" t="s">
        <v>239</v>
      </c>
      <c r="C3" s="3" t="s">
        <v>248</v>
      </c>
      <c r="D3" s="3">
        <v>25</v>
      </c>
      <c r="E3" s="3" t="s">
        <v>73</v>
      </c>
      <c r="F3" s="3" t="s">
        <v>252</v>
      </c>
      <c r="G3" s="3">
        <v>9876501002</v>
      </c>
      <c r="H3" s="9" t="s">
        <v>258</v>
      </c>
    </row>
    <row r="4" spans="1:8" x14ac:dyDescent="0.25">
      <c r="A4" s="3" t="s">
        <v>220</v>
      </c>
      <c r="B4" s="3" t="s">
        <v>240</v>
      </c>
      <c r="C4" s="3" t="s">
        <v>247</v>
      </c>
      <c r="D4" s="3">
        <v>32</v>
      </c>
      <c r="E4" s="3" t="s">
        <v>249</v>
      </c>
      <c r="F4" s="3" t="s">
        <v>253</v>
      </c>
      <c r="G4" s="3">
        <v>9876501003</v>
      </c>
      <c r="H4" s="9" t="s">
        <v>259</v>
      </c>
    </row>
    <row r="5" spans="1:8" x14ac:dyDescent="0.25">
      <c r="A5" s="3" t="s">
        <v>221</v>
      </c>
      <c r="B5" s="3" t="s">
        <v>64</v>
      </c>
      <c r="C5" s="3" t="s">
        <v>248</v>
      </c>
      <c r="D5" s="3">
        <v>29</v>
      </c>
      <c r="E5" s="3" t="s">
        <v>67</v>
      </c>
      <c r="F5" s="3" t="s">
        <v>251</v>
      </c>
      <c r="G5" s="3">
        <v>9876501004</v>
      </c>
      <c r="H5" s="9" t="s">
        <v>260</v>
      </c>
    </row>
    <row r="6" spans="1:8" x14ac:dyDescent="0.25">
      <c r="A6" s="3" t="s">
        <v>222</v>
      </c>
      <c r="B6" s="3" t="s">
        <v>241</v>
      </c>
      <c r="C6" s="3" t="s">
        <v>247</v>
      </c>
      <c r="D6" s="3">
        <v>35</v>
      </c>
      <c r="E6" s="3" t="s">
        <v>88</v>
      </c>
      <c r="F6" s="3" t="s">
        <v>88</v>
      </c>
      <c r="G6" s="3">
        <v>9876501005</v>
      </c>
      <c r="H6" s="9" t="s">
        <v>261</v>
      </c>
    </row>
    <row r="7" spans="1:8" x14ac:dyDescent="0.25">
      <c r="A7" s="3" t="s">
        <v>223</v>
      </c>
      <c r="B7" s="3" t="s">
        <v>242</v>
      </c>
      <c r="C7" s="3" t="s">
        <v>248</v>
      </c>
      <c r="D7" s="3">
        <v>27</v>
      </c>
      <c r="E7" s="3" t="s">
        <v>85</v>
      </c>
      <c r="F7" s="3" t="s">
        <v>254</v>
      </c>
      <c r="G7" s="3">
        <v>9876501006</v>
      </c>
      <c r="H7" s="9" t="s">
        <v>262</v>
      </c>
    </row>
    <row r="8" spans="1:8" x14ac:dyDescent="0.25">
      <c r="A8" s="3" t="s">
        <v>224</v>
      </c>
      <c r="B8" s="3" t="s">
        <v>243</v>
      </c>
      <c r="C8" s="3" t="s">
        <v>247</v>
      </c>
      <c r="D8" s="3">
        <v>41</v>
      </c>
      <c r="E8" s="3" t="s">
        <v>250</v>
      </c>
      <c r="F8" s="3" t="s">
        <v>255</v>
      </c>
      <c r="G8" s="3">
        <v>9876501007</v>
      </c>
      <c r="H8" s="9" t="s">
        <v>263</v>
      </c>
    </row>
    <row r="9" spans="1:8" x14ac:dyDescent="0.25">
      <c r="A9" s="3" t="s">
        <v>225</v>
      </c>
      <c r="B9" s="3" t="s">
        <v>244</v>
      </c>
      <c r="C9" s="3" t="s">
        <v>248</v>
      </c>
      <c r="D9" s="3">
        <v>30</v>
      </c>
      <c r="E9" s="3" t="s">
        <v>67</v>
      </c>
      <c r="F9" s="3" t="s">
        <v>251</v>
      </c>
      <c r="G9" s="3">
        <v>9876501008</v>
      </c>
      <c r="H9" s="9" t="s">
        <v>264</v>
      </c>
    </row>
    <row r="10" spans="1:8" x14ac:dyDescent="0.25">
      <c r="A10" s="3" t="s">
        <v>226</v>
      </c>
      <c r="B10" s="3" t="s">
        <v>245</v>
      </c>
      <c r="C10" s="3" t="s">
        <v>247</v>
      </c>
      <c r="D10" s="3">
        <v>26</v>
      </c>
      <c r="E10" s="3" t="s">
        <v>73</v>
      </c>
      <c r="F10" s="3" t="s">
        <v>252</v>
      </c>
      <c r="G10" s="3">
        <v>9876501009</v>
      </c>
      <c r="H10" s="9" t="s">
        <v>265</v>
      </c>
    </row>
    <row r="11" spans="1:8" x14ac:dyDescent="0.25">
      <c r="A11" s="3" t="s">
        <v>227</v>
      </c>
      <c r="B11" s="3" t="s">
        <v>246</v>
      </c>
      <c r="C11" s="3" t="s">
        <v>248</v>
      </c>
      <c r="D11" s="3">
        <v>33</v>
      </c>
      <c r="E11" s="3" t="s">
        <v>249</v>
      </c>
      <c r="F11" s="3" t="s">
        <v>256</v>
      </c>
      <c r="G11" s="3">
        <v>9876501010</v>
      </c>
      <c r="H11" s="9" t="s">
        <v>266</v>
      </c>
    </row>
    <row r="12" spans="1:8" x14ac:dyDescent="0.25">
      <c r="A12" s="3" t="s">
        <v>228</v>
      </c>
      <c r="B12" s="3" t="s">
        <v>267</v>
      </c>
      <c r="C12" s="3" t="s">
        <v>247</v>
      </c>
      <c r="D12" s="3">
        <v>38</v>
      </c>
      <c r="E12" s="3" t="s">
        <v>268</v>
      </c>
      <c r="F12" s="3" t="s">
        <v>254</v>
      </c>
      <c r="G12" s="3">
        <v>9876501011</v>
      </c>
      <c r="H12" s="9" t="s">
        <v>280</v>
      </c>
    </row>
    <row r="13" spans="1:8" x14ac:dyDescent="0.25">
      <c r="A13" s="3" t="s">
        <v>229</v>
      </c>
      <c r="B13" s="3" t="s">
        <v>269</v>
      </c>
      <c r="C13" s="3" t="s">
        <v>248</v>
      </c>
      <c r="D13" s="3">
        <v>24</v>
      </c>
      <c r="E13" s="3" t="s">
        <v>278</v>
      </c>
      <c r="F13" s="3" t="s">
        <v>279</v>
      </c>
      <c r="G13" s="3">
        <v>9876501012</v>
      </c>
      <c r="H13" s="9" t="s">
        <v>282</v>
      </c>
    </row>
    <row r="14" spans="1:8" x14ac:dyDescent="0.25">
      <c r="A14" s="3" t="s">
        <v>230</v>
      </c>
      <c r="B14" s="3" t="s">
        <v>270</v>
      </c>
      <c r="C14" s="3" t="s">
        <v>247</v>
      </c>
      <c r="D14" s="3">
        <v>45</v>
      </c>
      <c r="E14" s="3" t="s">
        <v>67</v>
      </c>
      <c r="F14" s="3" t="s">
        <v>251</v>
      </c>
      <c r="G14" s="3">
        <v>9876501013</v>
      </c>
      <c r="H14" s="9" t="s">
        <v>281</v>
      </c>
    </row>
    <row r="15" spans="1:8" x14ac:dyDescent="0.25">
      <c r="A15" s="3" t="s">
        <v>231</v>
      </c>
      <c r="B15" s="3" t="s">
        <v>271</v>
      </c>
      <c r="C15" s="3" t="s">
        <v>248</v>
      </c>
      <c r="D15" s="3">
        <v>31</v>
      </c>
      <c r="E15" s="3" t="s">
        <v>88</v>
      </c>
      <c r="F15" s="3" t="s">
        <v>88</v>
      </c>
      <c r="G15" s="3">
        <v>9876501014</v>
      </c>
      <c r="H15" s="9" t="s">
        <v>283</v>
      </c>
    </row>
    <row r="16" spans="1:8" x14ac:dyDescent="0.25">
      <c r="A16" s="3" t="s">
        <v>232</v>
      </c>
      <c r="B16" s="3" t="s">
        <v>272</v>
      </c>
      <c r="C16" s="3" t="s">
        <v>247</v>
      </c>
      <c r="D16" s="3">
        <v>29</v>
      </c>
      <c r="E16" s="3" t="s">
        <v>85</v>
      </c>
      <c r="F16" s="3" t="s">
        <v>254</v>
      </c>
      <c r="G16" s="3">
        <v>9876501015</v>
      </c>
      <c r="H16" s="9" t="s">
        <v>284</v>
      </c>
    </row>
    <row r="17" spans="1:8" x14ac:dyDescent="0.25">
      <c r="A17" s="3" t="s">
        <v>233</v>
      </c>
      <c r="B17" s="3" t="s">
        <v>273</v>
      </c>
      <c r="C17" s="3" t="s">
        <v>248</v>
      </c>
      <c r="D17" s="3">
        <v>26</v>
      </c>
      <c r="E17" s="3" t="s">
        <v>73</v>
      </c>
      <c r="F17" s="3" t="s">
        <v>252</v>
      </c>
      <c r="G17" s="3">
        <v>9876501016</v>
      </c>
      <c r="H17" s="9" t="s">
        <v>285</v>
      </c>
    </row>
    <row r="18" spans="1:8" x14ac:dyDescent="0.25">
      <c r="A18" s="3" t="s">
        <v>234</v>
      </c>
      <c r="B18" s="3" t="s">
        <v>274</v>
      </c>
      <c r="C18" s="3" t="s">
        <v>247</v>
      </c>
      <c r="D18" s="3">
        <v>36</v>
      </c>
      <c r="E18" s="3" t="s">
        <v>249</v>
      </c>
      <c r="F18" s="3" t="s">
        <v>253</v>
      </c>
      <c r="G18" s="3">
        <v>9876501017</v>
      </c>
      <c r="H18" s="9" t="s">
        <v>286</v>
      </c>
    </row>
    <row r="19" spans="1:8" x14ac:dyDescent="0.25">
      <c r="A19" s="3" t="s">
        <v>235</v>
      </c>
      <c r="B19" s="3" t="s">
        <v>275</v>
      </c>
      <c r="C19" s="3" t="s">
        <v>248</v>
      </c>
      <c r="D19" s="3">
        <v>33</v>
      </c>
      <c r="E19" s="3" t="s">
        <v>278</v>
      </c>
      <c r="F19" s="3" t="s">
        <v>279</v>
      </c>
      <c r="G19" s="3">
        <v>9876501018</v>
      </c>
      <c r="H19" s="9" t="s">
        <v>287</v>
      </c>
    </row>
    <row r="20" spans="1:8" x14ac:dyDescent="0.25">
      <c r="A20" s="3" t="s">
        <v>236</v>
      </c>
      <c r="B20" s="3" t="s">
        <v>276</v>
      </c>
      <c r="C20" s="3" t="s">
        <v>247</v>
      </c>
      <c r="D20" s="3">
        <v>42</v>
      </c>
      <c r="E20" s="3" t="s">
        <v>67</v>
      </c>
      <c r="F20" s="3" t="s">
        <v>251</v>
      </c>
      <c r="G20" s="3">
        <v>9876501019</v>
      </c>
      <c r="H20" s="9" t="s">
        <v>288</v>
      </c>
    </row>
    <row r="21" spans="1:8" x14ac:dyDescent="0.25">
      <c r="A21" s="3" t="s">
        <v>237</v>
      </c>
      <c r="B21" s="3" t="s">
        <v>277</v>
      </c>
      <c r="C21" s="3" t="s">
        <v>248</v>
      </c>
      <c r="D21" s="3">
        <v>28</v>
      </c>
      <c r="E21" s="3" t="s">
        <v>268</v>
      </c>
      <c r="F21" s="3" t="s">
        <v>254</v>
      </c>
      <c r="G21" s="3">
        <v>9876501020</v>
      </c>
      <c r="H21" s="9" t="s">
        <v>289</v>
      </c>
    </row>
    <row r="22" spans="1:8" x14ac:dyDescent="0.25">
      <c r="A22" s="3" t="s">
        <v>290</v>
      </c>
      <c r="B22" s="3" t="s">
        <v>303</v>
      </c>
      <c r="C22" s="3" t="s">
        <v>247</v>
      </c>
      <c r="D22" s="3">
        <v>34</v>
      </c>
      <c r="E22" s="3" t="s">
        <v>67</v>
      </c>
      <c r="F22" s="3" t="s">
        <v>251</v>
      </c>
      <c r="G22" s="3">
        <v>9876501021</v>
      </c>
      <c r="H22" s="9" t="s">
        <v>315</v>
      </c>
    </row>
    <row r="23" spans="1:8" x14ac:dyDescent="0.25">
      <c r="A23" s="3" t="s">
        <v>291</v>
      </c>
      <c r="B23" s="3" t="s">
        <v>304</v>
      </c>
      <c r="C23" s="3" t="s">
        <v>248</v>
      </c>
      <c r="D23" s="3">
        <v>27</v>
      </c>
      <c r="E23" s="3" t="s">
        <v>313</v>
      </c>
      <c r="F23" s="3" t="s">
        <v>314</v>
      </c>
      <c r="G23" s="3">
        <v>9876501022</v>
      </c>
      <c r="H23" s="9" t="s">
        <v>316</v>
      </c>
    </row>
    <row r="24" spans="1:8" x14ac:dyDescent="0.25">
      <c r="A24" s="3" t="s">
        <v>292</v>
      </c>
      <c r="B24" s="3" t="s">
        <v>305</v>
      </c>
      <c r="C24" s="3" t="s">
        <v>247</v>
      </c>
      <c r="D24" s="3">
        <v>39</v>
      </c>
      <c r="E24" s="3" t="s">
        <v>73</v>
      </c>
      <c r="F24" s="3" t="s">
        <v>252</v>
      </c>
      <c r="G24" s="3">
        <v>9876501023</v>
      </c>
      <c r="H24" s="9" t="s">
        <v>317</v>
      </c>
    </row>
    <row r="25" spans="1:8" x14ac:dyDescent="0.25">
      <c r="A25" s="3" t="s">
        <v>293</v>
      </c>
      <c r="B25" s="3" t="s">
        <v>306</v>
      </c>
      <c r="C25" s="3" t="s">
        <v>248</v>
      </c>
      <c r="D25" s="3">
        <v>30</v>
      </c>
      <c r="E25" s="3" t="s">
        <v>249</v>
      </c>
      <c r="F25" s="3" t="s">
        <v>253</v>
      </c>
      <c r="G25" s="3">
        <v>9876501024</v>
      </c>
      <c r="H25" s="9" t="s">
        <v>318</v>
      </c>
    </row>
    <row r="26" spans="1:8" x14ac:dyDescent="0.25">
      <c r="A26" s="3" t="s">
        <v>294</v>
      </c>
      <c r="B26" s="3" t="s">
        <v>307</v>
      </c>
      <c r="C26" s="3" t="s">
        <v>247</v>
      </c>
      <c r="D26" s="3">
        <v>25</v>
      </c>
      <c r="E26" s="3" t="s">
        <v>85</v>
      </c>
      <c r="F26" s="3" t="s">
        <v>254</v>
      </c>
      <c r="G26" s="3">
        <v>9876501025</v>
      </c>
      <c r="H26" s="9" t="s">
        <v>319</v>
      </c>
    </row>
    <row r="27" spans="1:8" x14ac:dyDescent="0.25">
      <c r="A27" s="3" t="s">
        <v>295</v>
      </c>
      <c r="B27" s="3" t="s">
        <v>308</v>
      </c>
      <c r="C27" s="3" t="s">
        <v>248</v>
      </c>
      <c r="D27" s="3">
        <v>35</v>
      </c>
      <c r="E27" s="3" t="s">
        <v>88</v>
      </c>
      <c r="F27" s="3" t="s">
        <v>88</v>
      </c>
      <c r="G27" s="3">
        <v>9876501026</v>
      </c>
      <c r="H27" s="9" t="s">
        <v>320</v>
      </c>
    </row>
    <row r="28" spans="1:8" x14ac:dyDescent="0.25">
      <c r="A28" s="3" t="s">
        <v>296</v>
      </c>
      <c r="B28" s="3" t="s">
        <v>309</v>
      </c>
      <c r="C28" s="3" t="s">
        <v>247</v>
      </c>
      <c r="D28" s="3">
        <v>43</v>
      </c>
      <c r="E28" s="3" t="s">
        <v>278</v>
      </c>
      <c r="F28" s="3" t="s">
        <v>279</v>
      </c>
      <c r="G28" s="3">
        <v>9876501027</v>
      </c>
      <c r="H28" s="9" t="s">
        <v>321</v>
      </c>
    </row>
    <row r="29" spans="1:8" x14ac:dyDescent="0.25">
      <c r="A29" s="3" t="s">
        <v>297</v>
      </c>
      <c r="B29" s="3" t="s">
        <v>310</v>
      </c>
      <c r="C29" s="3" t="s">
        <v>248</v>
      </c>
      <c r="D29" s="3">
        <v>29</v>
      </c>
      <c r="E29" s="3" t="s">
        <v>67</v>
      </c>
      <c r="F29" s="3" t="s">
        <v>251</v>
      </c>
      <c r="G29" s="3">
        <v>9876501028</v>
      </c>
      <c r="H29" s="9" t="s">
        <v>322</v>
      </c>
    </row>
    <row r="30" spans="1:8" x14ac:dyDescent="0.25">
      <c r="A30" s="3" t="s">
        <v>298</v>
      </c>
      <c r="B30" s="3" t="s">
        <v>311</v>
      </c>
      <c r="C30" s="3" t="s">
        <v>247</v>
      </c>
      <c r="D30" s="3">
        <v>31</v>
      </c>
      <c r="E30" s="3" t="s">
        <v>268</v>
      </c>
      <c r="F30" s="3" t="s">
        <v>254</v>
      </c>
      <c r="G30" s="3">
        <v>9876501029</v>
      </c>
      <c r="H30" s="9" t="s">
        <v>323</v>
      </c>
    </row>
    <row r="31" spans="1:8" x14ac:dyDescent="0.25">
      <c r="A31" s="3" t="s">
        <v>299</v>
      </c>
      <c r="B31" s="3" t="s">
        <v>312</v>
      </c>
      <c r="C31" s="3" t="s">
        <v>248</v>
      </c>
      <c r="D31" s="3">
        <v>26</v>
      </c>
      <c r="E31" s="3" t="s">
        <v>249</v>
      </c>
      <c r="F31" s="3" t="s">
        <v>253</v>
      </c>
      <c r="G31" s="3">
        <v>9876501030</v>
      </c>
      <c r="H31" s="9" t="s">
        <v>324</v>
      </c>
    </row>
    <row r="32" spans="1:8" x14ac:dyDescent="0.25">
      <c r="A32" s="3" t="s">
        <v>300</v>
      </c>
      <c r="B32" s="3" t="s">
        <v>342</v>
      </c>
      <c r="C32" s="3" t="s">
        <v>247</v>
      </c>
      <c r="D32" s="3">
        <v>37</v>
      </c>
      <c r="E32" s="3" t="s">
        <v>278</v>
      </c>
      <c r="F32" s="3" t="s">
        <v>279</v>
      </c>
      <c r="G32" s="3">
        <v>9876501031</v>
      </c>
      <c r="H32" s="9" t="s">
        <v>352</v>
      </c>
    </row>
    <row r="33" spans="1:8" x14ac:dyDescent="0.25">
      <c r="A33" s="3" t="s">
        <v>301</v>
      </c>
      <c r="B33" s="3" t="s">
        <v>343</v>
      </c>
      <c r="C33" s="3" t="s">
        <v>248</v>
      </c>
      <c r="D33" s="3">
        <v>28</v>
      </c>
      <c r="E33" s="3" t="s">
        <v>67</v>
      </c>
      <c r="F33" s="3" t="s">
        <v>251</v>
      </c>
      <c r="G33" s="3">
        <v>9876501032</v>
      </c>
      <c r="H33" s="9" t="s">
        <v>353</v>
      </c>
    </row>
    <row r="34" spans="1:8" x14ac:dyDescent="0.25">
      <c r="A34" s="3" t="s">
        <v>302</v>
      </c>
      <c r="B34" s="3" t="s">
        <v>344</v>
      </c>
      <c r="C34" s="3" t="s">
        <v>247</v>
      </c>
      <c r="D34" s="3">
        <v>33</v>
      </c>
      <c r="E34" s="3" t="s">
        <v>88</v>
      </c>
      <c r="F34" s="3" t="s">
        <v>88</v>
      </c>
      <c r="G34" s="3">
        <v>9876501033</v>
      </c>
      <c r="H34" s="9" t="s">
        <v>354</v>
      </c>
    </row>
    <row r="35" spans="1:8" x14ac:dyDescent="0.25">
      <c r="A35" s="3" t="s">
        <v>325</v>
      </c>
      <c r="B35" s="3" t="s">
        <v>345</v>
      </c>
      <c r="C35" s="3" t="s">
        <v>248</v>
      </c>
      <c r="D35" s="3">
        <v>40</v>
      </c>
      <c r="E35" s="3" t="s">
        <v>73</v>
      </c>
      <c r="F35" s="3" t="s">
        <v>252</v>
      </c>
      <c r="G35" s="3">
        <v>9876501035</v>
      </c>
      <c r="H35" s="9" t="s">
        <v>355</v>
      </c>
    </row>
    <row r="36" spans="1:8" x14ac:dyDescent="0.25">
      <c r="A36" s="3" t="s">
        <v>326</v>
      </c>
      <c r="B36" s="3" t="s">
        <v>346</v>
      </c>
      <c r="C36" s="3" t="s">
        <v>247</v>
      </c>
      <c r="D36" s="3">
        <v>29</v>
      </c>
      <c r="E36" s="3" t="s">
        <v>268</v>
      </c>
      <c r="F36" s="3" t="s">
        <v>254</v>
      </c>
      <c r="G36" s="3">
        <v>9876501036</v>
      </c>
      <c r="H36" s="9" t="s">
        <v>356</v>
      </c>
    </row>
    <row r="37" spans="1:8" x14ac:dyDescent="0.25">
      <c r="A37" s="3" t="s">
        <v>327</v>
      </c>
      <c r="B37" s="3" t="s">
        <v>347</v>
      </c>
      <c r="C37" s="3" t="s">
        <v>248</v>
      </c>
      <c r="D37" s="3">
        <v>34</v>
      </c>
      <c r="E37" s="3" t="s">
        <v>249</v>
      </c>
      <c r="F37" s="3" t="s">
        <v>253</v>
      </c>
      <c r="G37" s="3">
        <v>9876501036</v>
      </c>
      <c r="H37" s="9" t="s">
        <v>357</v>
      </c>
    </row>
    <row r="38" spans="1:8" x14ac:dyDescent="0.25">
      <c r="A38" s="3" t="s">
        <v>328</v>
      </c>
      <c r="B38" s="3" t="s">
        <v>348</v>
      </c>
      <c r="C38" s="3" t="s">
        <v>247</v>
      </c>
      <c r="D38" s="3">
        <v>27</v>
      </c>
      <c r="E38" s="3" t="s">
        <v>67</v>
      </c>
      <c r="F38" s="3" t="s">
        <v>251</v>
      </c>
      <c r="G38" s="3">
        <v>9876501037</v>
      </c>
      <c r="H38" s="9" t="s">
        <v>358</v>
      </c>
    </row>
    <row r="39" spans="1:8" x14ac:dyDescent="0.25">
      <c r="A39" s="3" t="s">
        <v>329</v>
      </c>
      <c r="B39" s="3" t="s">
        <v>349</v>
      </c>
      <c r="C39" s="3" t="s">
        <v>248</v>
      </c>
      <c r="D39" s="3">
        <v>36</v>
      </c>
      <c r="E39" s="3" t="s">
        <v>313</v>
      </c>
      <c r="F39" s="3" t="s">
        <v>314</v>
      </c>
      <c r="G39" s="3">
        <v>9876501038</v>
      </c>
      <c r="H39" s="9" t="s">
        <v>359</v>
      </c>
    </row>
    <row r="40" spans="1:8" x14ac:dyDescent="0.25">
      <c r="A40" s="3" t="s">
        <v>330</v>
      </c>
      <c r="B40" s="3" t="s">
        <v>350</v>
      </c>
      <c r="C40" s="3" t="s">
        <v>247</v>
      </c>
      <c r="D40" s="3">
        <v>41</v>
      </c>
      <c r="E40" s="3" t="s">
        <v>250</v>
      </c>
      <c r="F40" s="3" t="s">
        <v>255</v>
      </c>
      <c r="G40" s="3">
        <v>9876501039</v>
      </c>
      <c r="H40" s="9" t="s">
        <v>360</v>
      </c>
    </row>
    <row r="41" spans="1:8" x14ac:dyDescent="0.25">
      <c r="A41" s="3" t="s">
        <v>331</v>
      </c>
      <c r="B41" s="3" t="s">
        <v>351</v>
      </c>
      <c r="C41" s="3" t="s">
        <v>248</v>
      </c>
      <c r="D41" s="3">
        <v>25</v>
      </c>
      <c r="E41" s="3" t="s">
        <v>85</v>
      </c>
      <c r="F41" s="3" t="s">
        <v>254</v>
      </c>
      <c r="G41" s="3">
        <v>9876501040</v>
      </c>
      <c r="H41" s="9" t="s">
        <v>361</v>
      </c>
    </row>
    <row r="42" spans="1:8" x14ac:dyDescent="0.25">
      <c r="A42" s="3" t="s">
        <v>332</v>
      </c>
      <c r="B42" s="3" t="s">
        <v>362</v>
      </c>
      <c r="C42" s="3" t="s">
        <v>247</v>
      </c>
      <c r="D42" s="3">
        <v>32</v>
      </c>
      <c r="E42" s="3" t="s">
        <v>67</v>
      </c>
      <c r="F42" s="3" t="s">
        <v>251</v>
      </c>
      <c r="G42" s="3">
        <v>9876501041</v>
      </c>
      <c r="H42" s="9" t="s">
        <v>372</v>
      </c>
    </row>
    <row r="43" spans="1:8" x14ac:dyDescent="0.25">
      <c r="A43" s="3" t="s">
        <v>333</v>
      </c>
      <c r="B43" s="3" t="s">
        <v>363</v>
      </c>
      <c r="C43" s="3" t="s">
        <v>248</v>
      </c>
      <c r="D43" s="3">
        <v>29</v>
      </c>
      <c r="E43" s="3" t="s">
        <v>73</v>
      </c>
      <c r="F43" s="3" t="s">
        <v>252</v>
      </c>
      <c r="G43" s="3">
        <v>9876501042</v>
      </c>
      <c r="H43" s="9" t="s">
        <v>373</v>
      </c>
    </row>
    <row r="44" spans="1:8" x14ac:dyDescent="0.25">
      <c r="A44" s="3" t="s">
        <v>334</v>
      </c>
      <c r="B44" s="3" t="s">
        <v>364</v>
      </c>
      <c r="C44" s="3" t="s">
        <v>247</v>
      </c>
      <c r="D44" s="3">
        <v>38</v>
      </c>
      <c r="E44" s="3" t="s">
        <v>249</v>
      </c>
      <c r="F44" s="3" t="s">
        <v>253</v>
      </c>
      <c r="G44" s="3">
        <v>9876501043</v>
      </c>
      <c r="H44" s="9" t="s">
        <v>374</v>
      </c>
    </row>
    <row r="45" spans="1:8" x14ac:dyDescent="0.25">
      <c r="A45" s="3" t="s">
        <v>335</v>
      </c>
      <c r="B45" s="3" t="s">
        <v>365</v>
      </c>
      <c r="C45" s="3" t="s">
        <v>248</v>
      </c>
      <c r="D45" s="3">
        <v>26</v>
      </c>
      <c r="E45" s="3" t="s">
        <v>278</v>
      </c>
      <c r="F45" s="3" t="s">
        <v>279</v>
      </c>
      <c r="G45" s="3">
        <v>9876501044</v>
      </c>
      <c r="H45" s="9" t="s">
        <v>375</v>
      </c>
    </row>
    <row r="46" spans="1:8" x14ac:dyDescent="0.25">
      <c r="A46" s="3" t="s">
        <v>336</v>
      </c>
      <c r="B46" s="3" t="s">
        <v>366</v>
      </c>
      <c r="C46" s="3" t="s">
        <v>247</v>
      </c>
      <c r="D46" s="3">
        <v>44</v>
      </c>
      <c r="E46" s="3" t="s">
        <v>88</v>
      </c>
      <c r="F46" s="3" t="s">
        <v>88</v>
      </c>
      <c r="G46" s="3">
        <v>9876501045</v>
      </c>
      <c r="H46" s="9" t="s">
        <v>376</v>
      </c>
    </row>
    <row r="47" spans="1:8" x14ac:dyDescent="0.25">
      <c r="A47" s="3" t="s">
        <v>337</v>
      </c>
      <c r="B47" s="3" t="s">
        <v>367</v>
      </c>
      <c r="C47" s="3" t="s">
        <v>248</v>
      </c>
      <c r="D47" s="3">
        <v>31</v>
      </c>
      <c r="E47" s="3" t="s">
        <v>85</v>
      </c>
      <c r="F47" s="3" t="s">
        <v>254</v>
      </c>
      <c r="G47" s="3">
        <v>9876501046</v>
      </c>
      <c r="H47" s="9" t="s">
        <v>377</v>
      </c>
    </row>
    <row r="48" spans="1:8" x14ac:dyDescent="0.25">
      <c r="A48" s="3" t="s">
        <v>338</v>
      </c>
      <c r="B48" s="3" t="s">
        <v>368</v>
      </c>
      <c r="C48" s="3" t="s">
        <v>247</v>
      </c>
      <c r="D48" s="3">
        <v>35</v>
      </c>
      <c r="E48" s="3" t="s">
        <v>268</v>
      </c>
      <c r="F48" s="3" t="s">
        <v>254</v>
      </c>
      <c r="G48" s="3">
        <v>9876501047</v>
      </c>
      <c r="H48" s="9" t="s">
        <v>378</v>
      </c>
    </row>
    <row r="49" spans="1:8" x14ac:dyDescent="0.25">
      <c r="A49" s="3" t="s">
        <v>339</v>
      </c>
      <c r="B49" s="3" t="s">
        <v>369</v>
      </c>
      <c r="C49" s="3" t="s">
        <v>248</v>
      </c>
      <c r="D49" s="3">
        <v>27</v>
      </c>
      <c r="E49" s="3" t="s">
        <v>249</v>
      </c>
      <c r="F49" s="3" t="s">
        <v>253</v>
      </c>
      <c r="G49" s="3">
        <v>9876501048</v>
      </c>
      <c r="H49" s="9" t="s">
        <v>380</v>
      </c>
    </row>
    <row r="50" spans="1:8" x14ac:dyDescent="0.25">
      <c r="A50" s="3" t="s">
        <v>340</v>
      </c>
      <c r="B50" s="3" t="s">
        <v>370</v>
      </c>
      <c r="C50" s="3" t="s">
        <v>247</v>
      </c>
      <c r="D50" s="3">
        <v>30</v>
      </c>
      <c r="E50" s="3" t="s">
        <v>67</v>
      </c>
      <c r="F50" s="3" t="s">
        <v>251</v>
      </c>
      <c r="G50" s="3">
        <v>9876501049</v>
      </c>
      <c r="H50" s="9" t="s">
        <v>379</v>
      </c>
    </row>
    <row r="51" spans="1:8" x14ac:dyDescent="0.25">
      <c r="A51" s="3" t="s">
        <v>341</v>
      </c>
      <c r="B51" s="3" t="s">
        <v>371</v>
      </c>
      <c r="C51" s="3" t="s">
        <v>248</v>
      </c>
      <c r="D51" s="3">
        <v>39</v>
      </c>
      <c r="E51" s="3" t="s">
        <v>278</v>
      </c>
      <c r="F51" s="3" t="s">
        <v>279</v>
      </c>
      <c r="G51" s="3">
        <v>9876501050</v>
      </c>
      <c r="H51" s="9" t="s">
        <v>381</v>
      </c>
    </row>
    <row r="52" spans="1:8" x14ac:dyDescent="0.25">
      <c r="A52" s="3" t="s">
        <v>382</v>
      </c>
      <c r="B52" s="3" t="s">
        <v>383</v>
      </c>
      <c r="C52" s="3" t="s">
        <v>247</v>
      </c>
      <c r="D52" s="3">
        <v>34</v>
      </c>
      <c r="E52" s="3" t="s">
        <v>67</v>
      </c>
      <c r="F52" s="3" t="s">
        <v>251</v>
      </c>
      <c r="G52" s="3">
        <v>9876501051</v>
      </c>
      <c r="H52" s="10" t="s">
        <v>384</v>
      </c>
    </row>
    <row r="53" spans="1:8" x14ac:dyDescent="0.25">
      <c r="A53" s="3" t="s">
        <v>385</v>
      </c>
      <c r="B53" s="3" t="s">
        <v>386</v>
      </c>
      <c r="C53" s="3" t="s">
        <v>248</v>
      </c>
      <c r="D53" s="3">
        <v>28</v>
      </c>
      <c r="E53" s="3" t="s">
        <v>73</v>
      </c>
      <c r="F53" s="3" t="s">
        <v>252</v>
      </c>
      <c r="G53" s="3">
        <v>9876501052</v>
      </c>
      <c r="H53" s="10" t="s">
        <v>387</v>
      </c>
    </row>
    <row r="54" spans="1:8" x14ac:dyDescent="0.25">
      <c r="A54" s="3" t="s">
        <v>388</v>
      </c>
      <c r="B54" s="3" t="s">
        <v>389</v>
      </c>
      <c r="C54" s="3" t="s">
        <v>247</v>
      </c>
      <c r="D54" s="3">
        <v>40</v>
      </c>
      <c r="E54" s="3" t="s">
        <v>390</v>
      </c>
      <c r="F54" s="3" t="s">
        <v>391</v>
      </c>
      <c r="G54" s="3">
        <v>9876501053</v>
      </c>
      <c r="H54" s="10" t="s">
        <v>392</v>
      </c>
    </row>
    <row r="55" spans="1:8" x14ac:dyDescent="0.25">
      <c r="A55" s="3" t="s">
        <v>393</v>
      </c>
      <c r="B55" s="3" t="s">
        <v>394</v>
      </c>
      <c r="C55" s="3" t="s">
        <v>248</v>
      </c>
      <c r="D55" s="3">
        <v>32</v>
      </c>
      <c r="E55" s="3" t="s">
        <v>88</v>
      </c>
      <c r="F55" s="3" t="s">
        <v>88</v>
      </c>
      <c r="G55" s="3">
        <v>9876501054</v>
      </c>
      <c r="H55" s="10" t="s">
        <v>395</v>
      </c>
    </row>
    <row r="56" spans="1:8" x14ac:dyDescent="0.25">
      <c r="A56" s="3" t="s">
        <v>396</v>
      </c>
      <c r="B56" s="3" t="s">
        <v>397</v>
      </c>
      <c r="C56" s="3" t="s">
        <v>247</v>
      </c>
      <c r="D56" s="3">
        <v>27</v>
      </c>
      <c r="E56" s="3" t="s">
        <v>85</v>
      </c>
      <c r="F56" s="3" t="s">
        <v>254</v>
      </c>
      <c r="G56" s="3">
        <v>9876501055</v>
      </c>
      <c r="H56" s="10" t="s">
        <v>398</v>
      </c>
    </row>
    <row r="57" spans="1:8" x14ac:dyDescent="0.25">
      <c r="A57" s="3" t="s">
        <v>399</v>
      </c>
      <c r="B57" s="3" t="s">
        <v>400</v>
      </c>
      <c r="C57" s="3" t="s">
        <v>248</v>
      </c>
      <c r="D57" s="3">
        <v>35</v>
      </c>
      <c r="E57" s="3" t="s">
        <v>278</v>
      </c>
      <c r="F57" s="3" t="s">
        <v>401</v>
      </c>
      <c r="G57" s="3">
        <v>9876501056</v>
      </c>
      <c r="H57" s="10" t="s">
        <v>402</v>
      </c>
    </row>
    <row r="58" spans="1:8" x14ac:dyDescent="0.25">
      <c r="A58" s="3" t="s">
        <v>403</v>
      </c>
      <c r="B58" s="3" t="s">
        <v>65</v>
      </c>
      <c r="C58" s="3" t="s">
        <v>247</v>
      </c>
      <c r="D58" s="3">
        <v>31</v>
      </c>
      <c r="E58" s="3" t="s">
        <v>67</v>
      </c>
      <c r="F58" s="3" t="s">
        <v>251</v>
      </c>
      <c r="G58" s="3">
        <v>9876501057</v>
      </c>
      <c r="H58" s="10" t="s">
        <v>404</v>
      </c>
    </row>
    <row r="59" spans="1:8" x14ac:dyDescent="0.25">
      <c r="A59" s="3" t="s">
        <v>405</v>
      </c>
      <c r="B59" s="3" t="s">
        <v>406</v>
      </c>
      <c r="C59" s="3" t="s">
        <v>248</v>
      </c>
      <c r="D59" s="3">
        <v>29</v>
      </c>
      <c r="E59" s="3" t="s">
        <v>313</v>
      </c>
      <c r="F59" s="3" t="s">
        <v>314</v>
      </c>
      <c r="G59" s="3">
        <v>9876501058</v>
      </c>
      <c r="H59" s="10" t="s">
        <v>407</v>
      </c>
    </row>
    <row r="60" spans="1:8" x14ac:dyDescent="0.25">
      <c r="A60" s="3" t="s">
        <v>408</v>
      </c>
      <c r="B60" s="3" t="s">
        <v>409</v>
      </c>
      <c r="C60" s="3" t="s">
        <v>247</v>
      </c>
      <c r="D60" s="3">
        <v>36</v>
      </c>
      <c r="E60" s="3" t="s">
        <v>268</v>
      </c>
      <c r="F60" s="3" t="s">
        <v>254</v>
      </c>
      <c r="G60" s="3">
        <v>9876501059</v>
      </c>
      <c r="H60" s="10" t="s">
        <v>410</v>
      </c>
    </row>
    <row r="61" spans="1:8" x14ac:dyDescent="0.25">
      <c r="A61" s="3" t="s">
        <v>411</v>
      </c>
      <c r="B61" s="3" t="s">
        <v>412</v>
      </c>
      <c r="C61" s="3" t="s">
        <v>248</v>
      </c>
      <c r="D61" s="3">
        <v>26</v>
      </c>
      <c r="E61" s="3" t="s">
        <v>73</v>
      </c>
      <c r="F61" s="3" t="s">
        <v>252</v>
      </c>
      <c r="G61" s="3">
        <v>9876501060</v>
      </c>
      <c r="H61" s="10" t="s">
        <v>413</v>
      </c>
    </row>
    <row r="62" spans="1:8" x14ac:dyDescent="0.25">
      <c r="A62" s="3" t="s">
        <v>414</v>
      </c>
      <c r="B62" s="3" t="s">
        <v>415</v>
      </c>
      <c r="C62" s="3" t="s">
        <v>247</v>
      </c>
      <c r="D62" s="3">
        <v>43</v>
      </c>
      <c r="E62" s="3" t="s">
        <v>390</v>
      </c>
      <c r="F62" s="3" t="s">
        <v>391</v>
      </c>
      <c r="G62" s="3">
        <v>9876501061</v>
      </c>
      <c r="H62" s="10" t="s">
        <v>416</v>
      </c>
    </row>
    <row r="63" spans="1:8" x14ac:dyDescent="0.25">
      <c r="A63" s="3" t="s">
        <v>417</v>
      </c>
      <c r="B63" s="3" t="s">
        <v>418</v>
      </c>
      <c r="C63" s="3" t="s">
        <v>248</v>
      </c>
      <c r="D63" s="3">
        <v>30</v>
      </c>
      <c r="E63" s="3" t="s">
        <v>67</v>
      </c>
      <c r="F63" s="3" t="s">
        <v>251</v>
      </c>
      <c r="G63" s="3">
        <v>9876501062</v>
      </c>
      <c r="H63" s="10" t="s">
        <v>419</v>
      </c>
    </row>
    <row r="64" spans="1:8" x14ac:dyDescent="0.25">
      <c r="A64" s="3" t="s">
        <v>420</v>
      </c>
      <c r="B64" s="3" t="s">
        <v>421</v>
      </c>
      <c r="C64" s="3" t="s">
        <v>247</v>
      </c>
      <c r="D64" s="3">
        <v>38</v>
      </c>
      <c r="E64" s="3" t="s">
        <v>250</v>
      </c>
      <c r="F64" s="3" t="s">
        <v>255</v>
      </c>
      <c r="G64" s="3">
        <v>9876501063</v>
      </c>
      <c r="H64" s="10" t="s">
        <v>422</v>
      </c>
    </row>
    <row r="65" spans="1:8" x14ac:dyDescent="0.25">
      <c r="A65" s="3" t="s">
        <v>423</v>
      </c>
      <c r="B65" s="3" t="s">
        <v>424</v>
      </c>
      <c r="C65" s="3" t="s">
        <v>248</v>
      </c>
      <c r="D65" s="3">
        <v>25</v>
      </c>
      <c r="E65" s="3" t="s">
        <v>85</v>
      </c>
      <c r="F65" s="3" t="s">
        <v>254</v>
      </c>
      <c r="G65" s="3">
        <v>9876501064</v>
      </c>
      <c r="H65" s="10" t="s">
        <v>425</v>
      </c>
    </row>
    <row r="66" spans="1:8" x14ac:dyDescent="0.25">
      <c r="A66" s="3" t="s">
        <v>426</v>
      </c>
      <c r="B66" s="3" t="s">
        <v>427</v>
      </c>
      <c r="C66" s="3" t="s">
        <v>247</v>
      </c>
      <c r="D66" s="3">
        <v>45</v>
      </c>
      <c r="E66" s="3" t="s">
        <v>278</v>
      </c>
      <c r="F66" s="3" t="s">
        <v>401</v>
      </c>
      <c r="G66" s="3">
        <v>9876501065</v>
      </c>
      <c r="H66" s="10" t="s">
        <v>428</v>
      </c>
    </row>
    <row r="67" spans="1:8" x14ac:dyDescent="0.25">
      <c r="A67" s="3" t="s">
        <v>429</v>
      </c>
      <c r="B67" s="3" t="s">
        <v>430</v>
      </c>
      <c r="C67" s="3" t="s">
        <v>248</v>
      </c>
      <c r="D67" s="3">
        <v>33</v>
      </c>
      <c r="E67" s="3" t="s">
        <v>73</v>
      </c>
      <c r="F67" s="3" t="s">
        <v>252</v>
      </c>
      <c r="G67" s="3">
        <v>9876501066</v>
      </c>
      <c r="H67" s="10" t="s">
        <v>431</v>
      </c>
    </row>
    <row r="68" spans="1:8" x14ac:dyDescent="0.25">
      <c r="A68" s="3" t="s">
        <v>432</v>
      </c>
      <c r="B68" s="3" t="s">
        <v>433</v>
      </c>
      <c r="C68" s="3" t="s">
        <v>247</v>
      </c>
      <c r="D68" s="3">
        <v>29</v>
      </c>
      <c r="E68" s="3" t="s">
        <v>88</v>
      </c>
      <c r="F68" s="3" t="s">
        <v>88</v>
      </c>
      <c r="G68" s="3">
        <v>9876501067</v>
      </c>
      <c r="H68" s="10" t="s">
        <v>434</v>
      </c>
    </row>
    <row r="69" spans="1:8" x14ac:dyDescent="0.25">
      <c r="A69" s="3" t="s">
        <v>435</v>
      </c>
      <c r="B69" s="3" t="s">
        <v>436</v>
      </c>
      <c r="C69" s="3" t="s">
        <v>248</v>
      </c>
      <c r="D69" s="3">
        <v>37</v>
      </c>
      <c r="E69" s="3" t="s">
        <v>250</v>
      </c>
      <c r="F69" s="3" t="s">
        <v>255</v>
      </c>
      <c r="G69" s="3">
        <v>9876501068</v>
      </c>
      <c r="H69" s="10" t="s">
        <v>437</v>
      </c>
    </row>
    <row r="70" spans="1:8" x14ac:dyDescent="0.25">
      <c r="A70" s="3" t="s">
        <v>438</v>
      </c>
      <c r="B70" s="3" t="s">
        <v>75</v>
      </c>
      <c r="C70" s="3" t="s">
        <v>247</v>
      </c>
      <c r="D70" s="3">
        <v>41</v>
      </c>
      <c r="E70" s="3" t="s">
        <v>67</v>
      </c>
      <c r="F70" s="3" t="s">
        <v>251</v>
      </c>
      <c r="G70" s="3">
        <v>9876501069</v>
      </c>
      <c r="H70" s="10" t="s">
        <v>439</v>
      </c>
    </row>
    <row r="71" spans="1:8" x14ac:dyDescent="0.25">
      <c r="A71" s="3" t="s">
        <v>440</v>
      </c>
      <c r="B71" s="3" t="s">
        <v>441</v>
      </c>
      <c r="C71" s="3" t="s">
        <v>248</v>
      </c>
      <c r="D71" s="3">
        <v>28</v>
      </c>
      <c r="E71" s="3" t="s">
        <v>278</v>
      </c>
      <c r="F71" s="3" t="s">
        <v>401</v>
      </c>
      <c r="G71" s="3">
        <v>9876501070</v>
      </c>
      <c r="H71" s="10" t="s">
        <v>442</v>
      </c>
    </row>
    <row r="72" spans="1:8" x14ac:dyDescent="0.25">
      <c r="A72" s="3" t="s">
        <v>443</v>
      </c>
      <c r="B72" s="3" t="s">
        <v>444</v>
      </c>
      <c r="C72" s="3" t="s">
        <v>247</v>
      </c>
      <c r="D72" s="3">
        <v>34</v>
      </c>
      <c r="E72" s="3" t="s">
        <v>390</v>
      </c>
      <c r="F72" s="3" t="s">
        <v>391</v>
      </c>
      <c r="G72" s="3">
        <v>9876501071</v>
      </c>
      <c r="H72" s="10" t="s">
        <v>445</v>
      </c>
    </row>
    <row r="73" spans="1:8" x14ac:dyDescent="0.25">
      <c r="A73" s="3" t="s">
        <v>446</v>
      </c>
      <c r="B73" s="3" t="s">
        <v>447</v>
      </c>
      <c r="C73" s="3" t="s">
        <v>248</v>
      </c>
      <c r="D73" s="3">
        <v>31</v>
      </c>
      <c r="E73" s="3" t="s">
        <v>88</v>
      </c>
      <c r="F73" s="3" t="s">
        <v>88</v>
      </c>
      <c r="G73" s="3">
        <v>9876501072</v>
      </c>
      <c r="H73" s="10" t="s">
        <v>448</v>
      </c>
    </row>
    <row r="74" spans="1:8" x14ac:dyDescent="0.25">
      <c r="A74" s="3" t="s">
        <v>449</v>
      </c>
      <c r="B74" s="3" t="s">
        <v>450</v>
      </c>
      <c r="C74" s="3" t="s">
        <v>247</v>
      </c>
      <c r="D74" s="3">
        <v>26</v>
      </c>
      <c r="E74" s="3" t="s">
        <v>85</v>
      </c>
      <c r="F74" s="3" t="s">
        <v>254</v>
      </c>
      <c r="G74" s="3">
        <v>9876501073</v>
      </c>
      <c r="H74" s="10" t="s">
        <v>451</v>
      </c>
    </row>
    <row r="75" spans="1:8" x14ac:dyDescent="0.25">
      <c r="A75" s="3" t="s">
        <v>452</v>
      </c>
      <c r="B75" s="3" t="s">
        <v>453</v>
      </c>
      <c r="C75" s="3" t="s">
        <v>248</v>
      </c>
      <c r="D75" s="3">
        <v>39</v>
      </c>
      <c r="E75" s="3" t="s">
        <v>278</v>
      </c>
      <c r="F75" s="3" t="s">
        <v>401</v>
      </c>
      <c r="G75" s="3">
        <v>9876501074</v>
      </c>
      <c r="H75" s="10" t="s">
        <v>454</v>
      </c>
    </row>
    <row r="76" spans="1:8" x14ac:dyDescent="0.25">
      <c r="A76" s="3" t="s">
        <v>455</v>
      </c>
      <c r="B76" s="3" t="s">
        <v>456</v>
      </c>
      <c r="C76" s="3" t="s">
        <v>247</v>
      </c>
      <c r="D76" s="3">
        <v>30</v>
      </c>
      <c r="E76" s="3" t="s">
        <v>67</v>
      </c>
      <c r="F76" s="3" t="s">
        <v>251</v>
      </c>
      <c r="G76" s="3">
        <v>9876501075</v>
      </c>
      <c r="H76" s="10" t="s">
        <v>457</v>
      </c>
    </row>
    <row r="77" spans="1:8" x14ac:dyDescent="0.25">
      <c r="A77" s="3" t="s">
        <v>458</v>
      </c>
      <c r="B77" s="3" t="s">
        <v>459</v>
      </c>
      <c r="C77" s="3" t="s">
        <v>248</v>
      </c>
      <c r="D77" s="3">
        <v>27</v>
      </c>
      <c r="E77" s="3" t="s">
        <v>73</v>
      </c>
      <c r="F77" s="3" t="s">
        <v>252</v>
      </c>
      <c r="G77" s="3">
        <v>9876501076</v>
      </c>
      <c r="H77" s="10" t="s">
        <v>460</v>
      </c>
    </row>
    <row r="78" spans="1:8" x14ac:dyDescent="0.25">
      <c r="A78" s="3" t="s">
        <v>461</v>
      </c>
      <c r="B78" s="3" t="s">
        <v>462</v>
      </c>
      <c r="C78" s="3" t="s">
        <v>247</v>
      </c>
      <c r="D78" s="3">
        <v>42</v>
      </c>
      <c r="E78" s="3" t="s">
        <v>390</v>
      </c>
      <c r="F78" s="3" t="s">
        <v>391</v>
      </c>
      <c r="G78" s="3">
        <v>9876501077</v>
      </c>
      <c r="H78" s="10" t="s">
        <v>463</v>
      </c>
    </row>
    <row r="79" spans="1:8" x14ac:dyDescent="0.25">
      <c r="A79" s="3" t="s">
        <v>464</v>
      </c>
      <c r="B79" s="3" t="s">
        <v>465</v>
      </c>
      <c r="C79" s="3" t="s">
        <v>248</v>
      </c>
      <c r="D79" s="3">
        <v>36</v>
      </c>
      <c r="E79" s="3" t="s">
        <v>88</v>
      </c>
      <c r="F79" s="3" t="s">
        <v>88</v>
      </c>
      <c r="G79" s="3">
        <v>9876501078</v>
      </c>
      <c r="H79" s="10" t="s">
        <v>466</v>
      </c>
    </row>
    <row r="80" spans="1:8" x14ac:dyDescent="0.25">
      <c r="A80" s="3" t="s">
        <v>467</v>
      </c>
      <c r="B80" s="3" t="s">
        <v>468</v>
      </c>
      <c r="C80" s="3" t="s">
        <v>247</v>
      </c>
      <c r="D80" s="3">
        <v>33</v>
      </c>
      <c r="E80" s="3" t="s">
        <v>250</v>
      </c>
      <c r="F80" s="3" t="s">
        <v>255</v>
      </c>
      <c r="G80" s="3">
        <v>9876501079</v>
      </c>
      <c r="H80" s="10" t="s">
        <v>469</v>
      </c>
    </row>
    <row r="81" spans="1:8" x14ac:dyDescent="0.25">
      <c r="A81" s="3" t="s">
        <v>470</v>
      </c>
      <c r="B81" s="3" t="s">
        <v>471</v>
      </c>
      <c r="C81" s="3" t="s">
        <v>248</v>
      </c>
      <c r="D81" s="3">
        <v>24</v>
      </c>
      <c r="E81" s="3" t="s">
        <v>67</v>
      </c>
      <c r="F81" s="3" t="s">
        <v>251</v>
      </c>
      <c r="G81" s="3">
        <v>9876501080</v>
      </c>
      <c r="H81" s="10" t="s">
        <v>472</v>
      </c>
    </row>
    <row r="82" spans="1:8" x14ac:dyDescent="0.25">
      <c r="A82" s="3" t="s">
        <v>473</v>
      </c>
      <c r="B82" s="3" t="s">
        <v>474</v>
      </c>
      <c r="C82" s="3" t="s">
        <v>247</v>
      </c>
      <c r="D82" s="3">
        <v>46</v>
      </c>
      <c r="E82" s="3" t="s">
        <v>268</v>
      </c>
      <c r="F82" s="3" t="s">
        <v>254</v>
      </c>
      <c r="G82" s="3">
        <v>9876501081</v>
      </c>
      <c r="H82" s="10" t="s">
        <v>475</v>
      </c>
    </row>
    <row r="83" spans="1:8" x14ac:dyDescent="0.25">
      <c r="A83" s="3" t="s">
        <v>476</v>
      </c>
      <c r="B83" s="3" t="s">
        <v>477</v>
      </c>
      <c r="C83" s="3" t="s">
        <v>248</v>
      </c>
      <c r="D83" s="3">
        <v>29</v>
      </c>
      <c r="E83" s="3" t="s">
        <v>278</v>
      </c>
      <c r="F83" s="3" t="s">
        <v>401</v>
      </c>
      <c r="G83" s="3">
        <v>9876501082</v>
      </c>
      <c r="H83" s="10" t="s">
        <v>478</v>
      </c>
    </row>
    <row r="84" spans="1:8" x14ac:dyDescent="0.25">
      <c r="A84" s="3" t="s">
        <v>479</v>
      </c>
      <c r="B84" s="3" t="s">
        <v>480</v>
      </c>
      <c r="C84" s="3" t="s">
        <v>247</v>
      </c>
      <c r="D84" s="3">
        <v>35</v>
      </c>
      <c r="E84" s="3" t="s">
        <v>313</v>
      </c>
      <c r="F84" s="3" t="s">
        <v>314</v>
      </c>
      <c r="G84" s="3">
        <v>9876501083</v>
      </c>
      <c r="H84" s="10" t="s">
        <v>481</v>
      </c>
    </row>
    <row r="85" spans="1:8" x14ac:dyDescent="0.25">
      <c r="A85" s="3" t="s">
        <v>482</v>
      </c>
      <c r="B85" s="3" t="s">
        <v>483</v>
      </c>
      <c r="C85" s="3" t="s">
        <v>248</v>
      </c>
      <c r="D85" s="3">
        <v>26</v>
      </c>
      <c r="E85" s="3" t="s">
        <v>88</v>
      </c>
      <c r="F85" s="3" t="s">
        <v>88</v>
      </c>
      <c r="G85" s="3">
        <v>9876501084</v>
      </c>
      <c r="H85" s="10" t="s">
        <v>484</v>
      </c>
    </row>
    <row r="86" spans="1:8" x14ac:dyDescent="0.25">
      <c r="A86" s="3" t="s">
        <v>485</v>
      </c>
      <c r="B86" s="3" t="s">
        <v>486</v>
      </c>
      <c r="C86" s="3" t="s">
        <v>247</v>
      </c>
      <c r="D86" s="3">
        <v>39</v>
      </c>
      <c r="E86" s="3" t="s">
        <v>85</v>
      </c>
      <c r="F86" s="3" t="s">
        <v>254</v>
      </c>
      <c r="G86" s="3">
        <v>9876501085</v>
      </c>
      <c r="H86" s="10" t="s">
        <v>487</v>
      </c>
    </row>
    <row r="87" spans="1:8" x14ac:dyDescent="0.25">
      <c r="A87" s="3" t="s">
        <v>488</v>
      </c>
      <c r="B87" s="3" t="s">
        <v>489</v>
      </c>
      <c r="C87" s="3" t="s">
        <v>248</v>
      </c>
      <c r="D87" s="3">
        <v>32</v>
      </c>
      <c r="E87" s="3" t="s">
        <v>67</v>
      </c>
      <c r="F87" s="3" t="s">
        <v>251</v>
      </c>
      <c r="G87" s="3">
        <v>9876501086</v>
      </c>
      <c r="H87" s="10" t="s">
        <v>490</v>
      </c>
    </row>
    <row r="88" spans="1:8" x14ac:dyDescent="0.25">
      <c r="A88" s="3" t="s">
        <v>491</v>
      </c>
      <c r="B88" s="3" t="s">
        <v>492</v>
      </c>
      <c r="C88" s="3" t="s">
        <v>247</v>
      </c>
      <c r="D88" s="3">
        <v>28</v>
      </c>
      <c r="E88" s="3" t="s">
        <v>73</v>
      </c>
      <c r="F88" s="3" t="s">
        <v>252</v>
      </c>
      <c r="G88" s="3">
        <v>9876501087</v>
      </c>
      <c r="H88" s="10" t="s">
        <v>493</v>
      </c>
    </row>
    <row r="89" spans="1:8" x14ac:dyDescent="0.25">
      <c r="A89" s="3" t="s">
        <v>494</v>
      </c>
      <c r="B89" s="3" t="s">
        <v>495</v>
      </c>
      <c r="C89" s="3" t="s">
        <v>248</v>
      </c>
      <c r="D89" s="3">
        <v>34</v>
      </c>
      <c r="E89" s="3" t="s">
        <v>390</v>
      </c>
      <c r="F89" s="3" t="s">
        <v>391</v>
      </c>
      <c r="G89" s="3">
        <v>9876501088</v>
      </c>
      <c r="H89" s="10" t="s">
        <v>496</v>
      </c>
    </row>
    <row r="90" spans="1:8" x14ac:dyDescent="0.25">
      <c r="A90" s="3" t="s">
        <v>497</v>
      </c>
      <c r="B90" s="3" t="s">
        <v>498</v>
      </c>
      <c r="C90" s="3" t="s">
        <v>247</v>
      </c>
      <c r="D90" s="3">
        <v>43</v>
      </c>
      <c r="E90" s="3" t="s">
        <v>67</v>
      </c>
      <c r="F90" s="3" t="s">
        <v>251</v>
      </c>
      <c r="G90" s="3">
        <v>9876501089</v>
      </c>
      <c r="H90" s="10" t="s">
        <v>499</v>
      </c>
    </row>
    <row r="91" spans="1:8" x14ac:dyDescent="0.25">
      <c r="A91" s="3" t="s">
        <v>500</v>
      </c>
      <c r="B91" s="3" t="s">
        <v>501</v>
      </c>
      <c r="C91" s="3" t="s">
        <v>248</v>
      </c>
      <c r="D91" s="3">
        <v>30</v>
      </c>
      <c r="E91" s="3" t="s">
        <v>278</v>
      </c>
      <c r="F91" s="3" t="s">
        <v>401</v>
      </c>
      <c r="G91" s="3">
        <v>9876501090</v>
      </c>
      <c r="H91" s="10" t="s">
        <v>502</v>
      </c>
    </row>
    <row r="92" spans="1:8" x14ac:dyDescent="0.25">
      <c r="A92" s="3" t="s">
        <v>503</v>
      </c>
      <c r="B92" s="3" t="s">
        <v>504</v>
      </c>
      <c r="C92" s="3" t="s">
        <v>247</v>
      </c>
      <c r="D92" s="3">
        <v>37</v>
      </c>
      <c r="E92" s="3" t="s">
        <v>250</v>
      </c>
      <c r="F92" s="3" t="s">
        <v>255</v>
      </c>
      <c r="G92" s="3">
        <v>9876501091</v>
      </c>
      <c r="H92" s="10" t="s">
        <v>505</v>
      </c>
    </row>
    <row r="93" spans="1:8" x14ac:dyDescent="0.25">
      <c r="A93" s="3" t="s">
        <v>506</v>
      </c>
      <c r="B93" s="3" t="s">
        <v>507</v>
      </c>
      <c r="C93" s="3" t="s">
        <v>248</v>
      </c>
      <c r="D93" s="3">
        <v>25</v>
      </c>
      <c r="E93" s="3" t="s">
        <v>73</v>
      </c>
      <c r="F93" s="3" t="s">
        <v>252</v>
      </c>
      <c r="G93" s="3">
        <v>9876501092</v>
      </c>
      <c r="H93" s="10" t="s">
        <v>508</v>
      </c>
    </row>
    <row r="94" spans="1:8" x14ac:dyDescent="0.25">
      <c r="A94" s="3" t="s">
        <v>509</v>
      </c>
      <c r="B94" s="3" t="s">
        <v>510</v>
      </c>
      <c r="C94" s="3" t="s">
        <v>247</v>
      </c>
      <c r="D94" s="3">
        <v>31</v>
      </c>
      <c r="E94" s="3" t="s">
        <v>390</v>
      </c>
      <c r="F94" s="3" t="s">
        <v>391</v>
      </c>
      <c r="G94" s="3">
        <v>9876501093</v>
      </c>
      <c r="H94" s="10" t="s">
        <v>511</v>
      </c>
    </row>
    <row r="95" spans="1:8" x14ac:dyDescent="0.25">
      <c r="A95" s="3" t="s">
        <v>512</v>
      </c>
      <c r="B95" s="3" t="s">
        <v>513</v>
      </c>
      <c r="C95" s="3" t="s">
        <v>248</v>
      </c>
      <c r="D95" s="3">
        <v>40</v>
      </c>
      <c r="E95" s="3" t="s">
        <v>88</v>
      </c>
      <c r="F95" s="3" t="s">
        <v>88</v>
      </c>
      <c r="G95" s="3">
        <v>9876501094</v>
      </c>
      <c r="H95" s="10" t="s">
        <v>514</v>
      </c>
    </row>
    <row r="96" spans="1:8" x14ac:dyDescent="0.25">
      <c r="A96" s="3" t="s">
        <v>515</v>
      </c>
      <c r="B96" s="3" t="s">
        <v>516</v>
      </c>
      <c r="C96" s="3" t="s">
        <v>247</v>
      </c>
      <c r="D96" s="3">
        <v>29</v>
      </c>
      <c r="E96" s="3" t="s">
        <v>85</v>
      </c>
      <c r="F96" s="3" t="s">
        <v>254</v>
      </c>
      <c r="G96" s="3">
        <v>9876501095</v>
      </c>
      <c r="H96" s="10" t="s">
        <v>517</v>
      </c>
    </row>
    <row r="97" spans="1:8" x14ac:dyDescent="0.25">
      <c r="A97" s="3" t="s">
        <v>518</v>
      </c>
      <c r="B97" s="3" t="s">
        <v>519</v>
      </c>
      <c r="C97" s="3" t="s">
        <v>248</v>
      </c>
      <c r="D97" s="3">
        <v>35</v>
      </c>
      <c r="E97" s="3" t="s">
        <v>278</v>
      </c>
      <c r="F97" s="3" t="s">
        <v>401</v>
      </c>
      <c r="G97" s="3">
        <v>9876501096</v>
      </c>
      <c r="H97" s="10" t="s">
        <v>520</v>
      </c>
    </row>
    <row r="98" spans="1:8" x14ac:dyDescent="0.25">
      <c r="A98" s="3" t="s">
        <v>521</v>
      </c>
      <c r="B98" s="3" t="s">
        <v>522</v>
      </c>
      <c r="C98" s="3" t="s">
        <v>247</v>
      </c>
      <c r="D98" s="3">
        <v>44</v>
      </c>
      <c r="E98" s="3" t="s">
        <v>67</v>
      </c>
      <c r="F98" s="3" t="s">
        <v>251</v>
      </c>
      <c r="G98" s="3">
        <v>9876501097</v>
      </c>
      <c r="H98" s="10" t="s">
        <v>523</v>
      </c>
    </row>
    <row r="99" spans="1:8" x14ac:dyDescent="0.25">
      <c r="A99" s="3" t="s">
        <v>524</v>
      </c>
      <c r="B99" s="3" t="s">
        <v>367</v>
      </c>
      <c r="C99" s="3" t="s">
        <v>248</v>
      </c>
      <c r="D99" s="3">
        <v>27</v>
      </c>
      <c r="E99" s="3" t="s">
        <v>250</v>
      </c>
      <c r="F99" s="3" t="s">
        <v>255</v>
      </c>
      <c r="G99" s="3">
        <v>9876501098</v>
      </c>
      <c r="H99" s="10" t="s">
        <v>377</v>
      </c>
    </row>
    <row r="100" spans="1:8" x14ac:dyDescent="0.25">
      <c r="A100" s="3" t="s">
        <v>525</v>
      </c>
      <c r="B100" s="3" t="s">
        <v>526</v>
      </c>
      <c r="C100" s="3" t="s">
        <v>247</v>
      </c>
      <c r="D100" s="3">
        <v>38</v>
      </c>
      <c r="E100" s="3" t="s">
        <v>73</v>
      </c>
      <c r="F100" s="3" t="s">
        <v>252</v>
      </c>
      <c r="G100" s="3">
        <v>9876501099</v>
      </c>
      <c r="H100" s="10" t="s">
        <v>527</v>
      </c>
    </row>
    <row r="101" spans="1:8" x14ac:dyDescent="0.25">
      <c r="A101" s="3" t="s">
        <v>528</v>
      </c>
      <c r="B101" s="3" t="s">
        <v>529</v>
      </c>
      <c r="C101" s="3" t="s">
        <v>248</v>
      </c>
      <c r="D101" s="3">
        <v>33</v>
      </c>
      <c r="E101" s="3" t="s">
        <v>67</v>
      </c>
      <c r="F101" s="3" t="s">
        <v>251</v>
      </c>
      <c r="G101" s="3">
        <v>9876501100</v>
      </c>
      <c r="H101" s="10" t="s">
        <v>530</v>
      </c>
    </row>
  </sheetData>
  <hyperlinks>
    <hyperlink ref="H2" r:id="rId1" xr:uid="{465B59AE-B803-49AA-BD07-BF8634980959}"/>
    <hyperlink ref="H3" r:id="rId2" xr:uid="{D8B545BE-015C-4EB0-A9DF-DC6C1067194E}"/>
    <hyperlink ref="H4" r:id="rId3" xr:uid="{73FD64B0-D522-42E8-A4B9-C5C236C4E2D1}"/>
    <hyperlink ref="H5" r:id="rId4" xr:uid="{387AB3DF-0761-46CA-B5FD-CFEDD3B48922}"/>
    <hyperlink ref="H6" r:id="rId5" xr:uid="{40937AB7-A118-44D2-8721-F4323CD642DB}"/>
    <hyperlink ref="H7" r:id="rId6" xr:uid="{5252DF66-984B-44BA-89E5-3F3D772D43B2}"/>
    <hyperlink ref="H8" r:id="rId7" xr:uid="{E16AA35C-AC94-4F24-8297-7D6F6132DB29}"/>
    <hyperlink ref="H9" r:id="rId8" xr:uid="{55248D21-7293-43F8-BF09-9B95FF94ABB5}"/>
    <hyperlink ref="H10" r:id="rId9" xr:uid="{D1EE4E98-3AA5-498B-8420-C5FCD8E5B514}"/>
    <hyperlink ref="H11" r:id="rId10" xr:uid="{50FC0D5A-A72A-42BA-A23F-BDE9BDF14E41}"/>
    <hyperlink ref="H12" r:id="rId11" xr:uid="{1B78009E-7D64-4A79-9ACC-80909B0909F1}"/>
    <hyperlink ref="H13" r:id="rId12" xr:uid="{0B5B9154-2331-4675-9D7E-ABA9BCF1F502}"/>
    <hyperlink ref="H14" r:id="rId13" xr:uid="{684D707B-7E4B-4DD9-B2AB-29BECAB6E90B}"/>
    <hyperlink ref="H15" r:id="rId14" xr:uid="{F1AE796F-BC68-46D7-ADC1-9F89839D35E4}"/>
    <hyperlink ref="H16" r:id="rId15" xr:uid="{550CA860-59AC-451C-BA82-7FFA89CDEFE1}"/>
    <hyperlink ref="H17" r:id="rId16" xr:uid="{C3B04A90-40A0-4B2A-8ED9-A7EEC8BCB64B}"/>
    <hyperlink ref="H18" r:id="rId17" xr:uid="{5DF7B3BA-EC22-458A-B093-E5FACACB21FC}"/>
    <hyperlink ref="H19" r:id="rId18" xr:uid="{44D001A6-4493-4ADA-BF7F-578E711A3319}"/>
    <hyperlink ref="H20" r:id="rId19" xr:uid="{6AF5BC22-6D86-4F74-B493-DC86BC49A4B9}"/>
    <hyperlink ref="H21" r:id="rId20" xr:uid="{F7D898F9-0C5E-4551-8B7F-EF7343F79A62}"/>
    <hyperlink ref="H22" r:id="rId21" xr:uid="{E7F26646-FE79-4890-82B5-CAB1CFC51F12}"/>
    <hyperlink ref="H23" r:id="rId22" xr:uid="{4F485CFE-0D2A-49D1-BA73-1C5C5EC8C2B3}"/>
    <hyperlink ref="H24" r:id="rId23" xr:uid="{FF01EAFD-9060-4CB5-BC50-AD1688C2FB1D}"/>
    <hyperlink ref="H25" r:id="rId24" xr:uid="{2CE64A04-D260-482D-9927-EC8B6F5A3096}"/>
    <hyperlink ref="H26" r:id="rId25" xr:uid="{5D5B442F-6C77-4A6F-9FB9-9F3ED4A3D0D7}"/>
    <hyperlink ref="H27" r:id="rId26" xr:uid="{371FABE9-9D5B-4436-8434-BDD7F5211BD5}"/>
    <hyperlink ref="H28" r:id="rId27" xr:uid="{AA7E5704-E3DF-46FB-A0A1-D1DBE2FC4438}"/>
    <hyperlink ref="H29" r:id="rId28" xr:uid="{4086DE88-F154-403E-8692-9ECB7E38B7FB}"/>
    <hyperlink ref="H30" r:id="rId29" xr:uid="{8F3BCB0C-47C1-4C5D-8026-E3370CF69175}"/>
    <hyperlink ref="H31" r:id="rId30" xr:uid="{D55684C3-3ACC-4956-8C87-0A2DC7E73329}"/>
    <hyperlink ref="H32" r:id="rId31" xr:uid="{637E2BB5-919C-4122-AEC8-FD9D6D236F7C}"/>
    <hyperlink ref="H33" r:id="rId32" xr:uid="{691AEE15-BB88-45CF-A6A8-DFB8D2CCF213}"/>
    <hyperlink ref="H34" r:id="rId33" xr:uid="{C432201A-67AA-4531-BD2D-D36AE813BFF2}"/>
    <hyperlink ref="H35" r:id="rId34" xr:uid="{11B7D1DA-95B7-4CCE-945D-FA81F48A0D7F}"/>
    <hyperlink ref="H36" r:id="rId35" xr:uid="{0CF2D4A2-747A-4170-9C1E-046386435FCC}"/>
    <hyperlink ref="H37" r:id="rId36" xr:uid="{1BABC1FD-5707-401A-9F8B-9098A67F71B8}"/>
    <hyperlink ref="H38" r:id="rId37" xr:uid="{E13BACB9-CE60-43BD-BE2E-0EC14EFE1FFD}"/>
    <hyperlink ref="H39" r:id="rId38" xr:uid="{5BAC82B9-B885-4F6E-9427-BCD8391DB207}"/>
    <hyperlink ref="H40" r:id="rId39" xr:uid="{DB5F74F3-9E59-47D6-85E1-218D1574E76E}"/>
    <hyperlink ref="H41" r:id="rId40" xr:uid="{30F523E0-2C69-4FE2-A8B4-7DE9811A4F54}"/>
    <hyperlink ref="H42" r:id="rId41" xr:uid="{5815D27F-90D6-47C4-A59D-02999775F4EA}"/>
    <hyperlink ref="H43" r:id="rId42" xr:uid="{865709CF-933B-48D8-8934-E3FFC7B4A6A7}"/>
    <hyperlink ref="H44" r:id="rId43" xr:uid="{71F1A8B7-9456-4520-BB06-021E4633024A}"/>
    <hyperlink ref="H45" r:id="rId44" xr:uid="{3E3E6071-8675-471B-9EEF-A37DB11CE9A0}"/>
    <hyperlink ref="H46" r:id="rId45" xr:uid="{83E19256-7AF3-48D0-8D68-1DE47DB8E04D}"/>
    <hyperlink ref="H47" r:id="rId46" xr:uid="{081060F1-D6B2-4CEE-8381-7D1A446FC880}"/>
    <hyperlink ref="H48" r:id="rId47" xr:uid="{EEEFBC05-16B2-44ED-97FE-81044E5799DB}"/>
    <hyperlink ref="H49" r:id="rId48" xr:uid="{828E221E-E370-4580-9B8C-9FEC728D3B82}"/>
    <hyperlink ref="H50" r:id="rId49" xr:uid="{5ED25934-0B4C-4CA7-8F12-CF4477563EC8}"/>
    <hyperlink ref="H51" r:id="rId50" xr:uid="{45CBEFA6-D12F-4271-BB9B-67CAF5D246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5270-68A8-409C-B2BF-56460D7C3A26}">
  <dimension ref="A1:K13"/>
  <sheetViews>
    <sheetView workbookViewId="0">
      <selection activeCell="D16" sqref="D16"/>
    </sheetView>
  </sheetViews>
  <sheetFormatPr defaultRowHeight="15" x14ac:dyDescent="0.25"/>
  <cols>
    <col min="1" max="1" width="18" style="3" customWidth="1"/>
    <col min="2" max="2" width="14.5703125" style="12" customWidth="1"/>
    <col min="3" max="3" width="12.42578125" style="3" customWidth="1"/>
    <col min="4" max="4" width="12.85546875" style="3" customWidth="1"/>
    <col min="5" max="5" width="14.140625" style="11" bestFit="1" customWidth="1"/>
    <col min="7" max="7" width="18" style="11" customWidth="1"/>
    <col min="8" max="8" width="12.42578125" style="11" customWidth="1"/>
    <col min="10" max="10" width="16.28515625" style="11" customWidth="1"/>
    <col min="11" max="11" width="16.140625" style="17" customWidth="1"/>
  </cols>
  <sheetData>
    <row r="1" spans="1:11" x14ac:dyDescent="0.25">
      <c r="A1" s="1" t="s">
        <v>1961</v>
      </c>
      <c r="B1" s="1" t="s">
        <v>1962</v>
      </c>
      <c r="C1" s="1" t="s">
        <v>1963</v>
      </c>
      <c r="D1" s="1" t="s">
        <v>1964</v>
      </c>
    </row>
    <row r="2" spans="1:11" x14ac:dyDescent="0.25">
      <c r="A2" s="13">
        <f>SUM(Sales_Data!J2:J501)</f>
        <v>7850300</v>
      </c>
      <c r="B2" s="16">
        <f>COUNTA(Sales_Data!A2:A501)</f>
        <v>500</v>
      </c>
      <c r="C2" s="14">
        <f>AVERAGE(Sales_Data!J2:J501)</f>
        <v>15700.6</v>
      </c>
      <c r="D2" s="14">
        <f>SUM(Sales_Data!H2:H501)</f>
        <v>1693</v>
      </c>
    </row>
    <row r="4" spans="1:11" x14ac:dyDescent="0.25">
      <c r="A4" s="18" t="s">
        <v>2</v>
      </c>
      <c r="B4" s="18" t="s">
        <v>31</v>
      </c>
      <c r="D4" s="18" t="s">
        <v>18</v>
      </c>
      <c r="E4" s="18" t="s">
        <v>31</v>
      </c>
      <c r="G4" s="18" t="s">
        <v>1967</v>
      </c>
      <c r="H4" s="18" t="s">
        <v>1968</v>
      </c>
      <c r="J4" s="18" t="s">
        <v>1969</v>
      </c>
      <c r="K4" s="19" t="s">
        <v>1971</v>
      </c>
    </row>
    <row r="5" spans="1:11" x14ac:dyDescent="0.25">
      <c r="A5" s="3" t="s">
        <v>36</v>
      </c>
      <c r="B5" s="16">
        <f>SUMIF(Sales_Data!G:G,A5,Sales_Data!J:J)</f>
        <v>4809000</v>
      </c>
      <c r="D5" s="3" t="s">
        <v>67</v>
      </c>
      <c r="E5" s="14">
        <f>SUMIF(Sales_Data!M:M,D5,Sales_Data!J:J)</f>
        <v>4012000</v>
      </c>
      <c r="G5" s="3" t="s">
        <v>42</v>
      </c>
      <c r="H5" s="14">
        <f ca="1">COUNTIF(Sales_Data!N:N,G5)</f>
        <v>106</v>
      </c>
      <c r="J5" s="3" t="s">
        <v>1970</v>
      </c>
      <c r="K5" s="14">
        <f>COUNTIF(Sales_Data!O:O,J5)</f>
        <v>0</v>
      </c>
    </row>
    <row r="6" spans="1:11" x14ac:dyDescent="0.25">
      <c r="A6" s="3" t="s">
        <v>37</v>
      </c>
      <c r="B6" s="16">
        <f>SUMIF(Sales_Data!G:G,A6,Sales_Data!J:J)</f>
        <v>516400</v>
      </c>
      <c r="D6" s="3" t="s">
        <v>73</v>
      </c>
      <c r="E6" s="14">
        <f>SUMIF(Sales_Data!M:M,D6,Sales_Data!J:J)</f>
        <v>763800</v>
      </c>
      <c r="G6" s="3" t="s">
        <v>43</v>
      </c>
      <c r="H6" s="14">
        <f ca="1">COUNTIF(Sales_Data!N:N,G6)</f>
        <v>111</v>
      </c>
      <c r="J6" s="3" t="s">
        <v>47</v>
      </c>
      <c r="K6" s="14">
        <f>COUNTIF(Sales_Data!O:O,J6)</f>
        <v>132</v>
      </c>
    </row>
    <row r="7" spans="1:11" x14ac:dyDescent="0.25">
      <c r="A7" s="3" t="s">
        <v>1965</v>
      </c>
      <c r="B7" s="16">
        <f>SUMIF(Sales_Data!G:G,A7,Sales_Data!J:J)</f>
        <v>1898000</v>
      </c>
      <c r="D7" s="3" t="s">
        <v>71</v>
      </c>
      <c r="E7" s="14">
        <f>SUMIF(Sales_Data!M:M,D7,Sales_Data!J:J)</f>
        <v>1548500</v>
      </c>
      <c r="G7" s="3" t="s">
        <v>41</v>
      </c>
      <c r="H7" s="14">
        <f ca="1">COUNTIF(Sales_Data!N:N,G7)</f>
        <v>85</v>
      </c>
      <c r="J7" s="3" t="s">
        <v>48</v>
      </c>
      <c r="K7" s="14">
        <f>COUNTIF(Sales_Data!O:O,J7)</f>
        <v>111</v>
      </c>
    </row>
    <row r="8" spans="1:11" x14ac:dyDescent="0.25">
      <c r="A8" s="3" t="s">
        <v>40</v>
      </c>
      <c r="B8" s="16">
        <f>SUMIF(Sales_Data!G:G,A8,Sales_Data!J:J)</f>
        <v>314000</v>
      </c>
      <c r="D8" s="3" t="s">
        <v>88</v>
      </c>
      <c r="E8" s="14">
        <f>SUMIF(Sales_Data!M:M,D8,Sales_Data!J:J)</f>
        <v>1288600</v>
      </c>
      <c r="G8" s="3" t="s">
        <v>44</v>
      </c>
      <c r="H8" s="14">
        <f ca="1">COUNTIF(Sales_Data!N:N,G8)</f>
        <v>96</v>
      </c>
      <c r="J8" s="3" t="s">
        <v>49</v>
      </c>
      <c r="K8" s="14">
        <f>COUNTIF(Sales_Data!O:O,J8)</f>
        <v>118</v>
      </c>
    </row>
    <row r="9" spans="1:11" x14ac:dyDescent="0.25">
      <c r="A9" s="3" t="s">
        <v>38</v>
      </c>
      <c r="B9" s="16">
        <f>SUMIF(Sales_Data!G:G,A9,Sales_Data!J:J)</f>
        <v>312900</v>
      </c>
      <c r="D9" s="3" t="s">
        <v>1966</v>
      </c>
      <c r="E9" s="15">
        <f>SUMIF(Sales_Data!M:M,D9,Sales_Data!J:J)</f>
        <v>0</v>
      </c>
    </row>
    <row r="13" spans="1:11" x14ac:dyDescent="0.25">
      <c r="B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8E9A-6FB8-4907-B204-6CD42DA975C9}">
  <dimension ref="A1:D6"/>
  <sheetViews>
    <sheetView tabSelected="1" workbookViewId="0">
      <selection activeCell="A7" sqref="A7"/>
    </sheetView>
  </sheetViews>
  <sheetFormatPr defaultRowHeight="15" x14ac:dyDescent="0.25"/>
  <cols>
    <col min="1" max="1" width="16.140625" style="3" customWidth="1"/>
    <col min="2" max="2" width="17.42578125" style="3" customWidth="1"/>
    <col min="3" max="3" width="19" style="3" customWidth="1"/>
    <col min="4" max="4" width="19.85546875" style="3" customWidth="1"/>
  </cols>
  <sheetData>
    <row r="1" spans="1:4" s="5" customFormat="1" x14ac:dyDescent="0.25">
      <c r="A1" s="1" t="s">
        <v>16</v>
      </c>
      <c r="B1" s="1" t="s">
        <v>30</v>
      </c>
      <c r="C1" s="1" t="s">
        <v>9</v>
      </c>
      <c r="D1" s="1" t="s">
        <v>10</v>
      </c>
    </row>
    <row r="2" spans="1:4" x14ac:dyDescent="0.25">
      <c r="A2" s="3" t="s">
        <v>31</v>
      </c>
      <c r="B2" s="3" t="s">
        <v>36</v>
      </c>
      <c r="C2" s="3" t="s">
        <v>41</v>
      </c>
      <c r="D2" s="3" t="s">
        <v>46</v>
      </c>
    </row>
    <row r="3" spans="1:4" x14ac:dyDescent="0.25">
      <c r="A3" s="3" t="s">
        <v>32</v>
      </c>
      <c r="B3" s="3" t="s">
        <v>37</v>
      </c>
      <c r="C3" s="3" t="s">
        <v>42</v>
      </c>
      <c r="D3" s="3" t="s">
        <v>47</v>
      </c>
    </row>
    <row r="4" spans="1:4" x14ac:dyDescent="0.25">
      <c r="A4" s="3" t="s">
        <v>33</v>
      </c>
      <c r="B4" s="3" t="s">
        <v>38</v>
      </c>
      <c r="C4" s="3" t="s">
        <v>43</v>
      </c>
      <c r="D4" s="3" t="s">
        <v>48</v>
      </c>
    </row>
    <row r="5" spans="1:4" x14ac:dyDescent="0.25">
      <c r="A5" s="3" t="s">
        <v>34</v>
      </c>
      <c r="B5" s="3" t="s">
        <v>39</v>
      </c>
      <c r="C5" s="3" t="s">
        <v>44</v>
      </c>
      <c r="D5" s="3" t="s">
        <v>49</v>
      </c>
    </row>
    <row r="6" spans="1:4" x14ac:dyDescent="0.25">
      <c r="A6" s="3" t="s">
        <v>35</v>
      </c>
      <c r="B6" s="3" t="s">
        <v>40</v>
      </c>
      <c r="C6" s="3" t="s">
        <v>45</v>
      </c>
      <c r="D6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Employees</vt:lpstr>
      <vt:lpstr>Products</vt:lpstr>
      <vt:lpstr>Customers</vt:lpstr>
      <vt:lpstr>Dashboard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semmozhis499@gmail.com</dc:creator>
  <cp:lastModifiedBy>semmozhis499@gmail.com</cp:lastModifiedBy>
  <dcterms:created xsi:type="dcterms:W3CDTF">2026-07-19T08:45:51Z</dcterms:created>
  <dcterms:modified xsi:type="dcterms:W3CDTF">2026-08-01T14:01:25Z</dcterms:modified>
</cp:coreProperties>
</file>